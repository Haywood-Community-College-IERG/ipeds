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hcc365.sharepoint.com/sites/RIEDataProjects/Shared Documents/Reporting/IPEDS/R/"/>
    </mc:Choice>
  </mc:AlternateContent>
  <xr:revisionPtr revIDLastSave="212" documentId="13_ncr:1_{EC341666-6720-444A-8F5D-BD11441E88BF}" xr6:coauthVersionLast="47" xr6:coauthVersionMax="47" xr10:uidLastSave="{CCEB707C-6A52-4577-8C42-6D8548FC0F56}"/>
  <bookViews>
    <workbookView xWindow="25755" yWindow="210" windowWidth="20775" windowHeight="11160" xr2:uid="{ADF1E24B-947E-4258-8EE2-FD3DEA5295E5}"/>
  </bookViews>
  <sheets>
    <sheet name="ICA" sheetId="1" r:id="rId1"/>
    <sheet name="ICA_Table" sheetId="2" r:id="rId2"/>
    <sheet name="Result_Table" sheetId="3" r:id="rId3"/>
  </sheets>
  <definedNames>
    <definedName name="ExternalData_1" localSheetId="2" hidden="1">'Result_Table'!$A$1:$A$4</definedName>
    <definedName name="ICA_A_DA03">ICA!$B$103</definedName>
    <definedName name="ICA_A_DA04">ICA!$B$104</definedName>
    <definedName name="ICA_A_DA06">ICA!$B$84</definedName>
    <definedName name="ICA_A_DA07">ICA!$B$87</definedName>
    <definedName name="ICA_A_DA071">ICA!$B$88</definedName>
    <definedName name="ICA_A_DA072">ICA!$B$89</definedName>
    <definedName name="ICA_A_DA073">ICA!$B$90</definedName>
    <definedName name="ICA_A_DA08">ICA!$B$93</definedName>
    <definedName name="ICA_A_DA09">ICA!$B$95</definedName>
    <definedName name="ICA_A_DA10">ICA!$B$98</definedName>
    <definedName name="ICA_B_DB01">ICA!$B$109</definedName>
    <definedName name="ICA_B_DB02">ICA!$B$110</definedName>
    <definedName name="ICA_B_DB03">ICA!$B$111</definedName>
    <definedName name="ICA_B_DB04">ICA!$B$113</definedName>
    <definedName name="ICA_B_DB05">ICA!$B$114</definedName>
    <definedName name="ICA_B_DB06">ICA!$B$115</definedName>
    <definedName name="ICA_B_DB07">ICA!$B$119</definedName>
    <definedName name="ICA_B_DB08">ICA!$B$120</definedName>
    <definedName name="ICA_B_DB09">ICA!$B$121</definedName>
    <definedName name="ICA_D_DD01">ICA!$B$125</definedName>
    <definedName name="ICA_D_DD02">ICA!$B$126</definedName>
    <definedName name="ICA_D_DD03">ICA!$B$127</definedName>
    <definedName name="ICA_E_DE011">ICA!$B$133</definedName>
    <definedName name="ICA_E_DE012">ICA!$B$136</definedName>
    <definedName name="ICA_E_DE021">ICA!$B$141</definedName>
    <definedName name="ICA_E_DE022">ICA!$B$144</definedName>
    <definedName name="ICA_E_DE031">ICA!$B$149</definedName>
    <definedName name="ICA_E_DE032">ICA!$B$152</definedName>
    <definedName name="ICA_E_DE07">ICA!$B$156</definedName>
    <definedName name="ICA_E_DE08">ICA!$B$158</definedName>
    <definedName name="ICA_E_DE09">ICA!$B$159</definedName>
    <definedName name="ICA_E_DE10">ICA!$B$162</definedName>
    <definedName name="ICA_E_DE11">ICA!$B$163</definedName>
    <definedName name="ICA_E_DE12">ICA!$B$166</definedName>
    <definedName name="ICA_E_FEEGP01">ICA!$B$138</definedName>
    <definedName name="ICA_E_FEEGP02">ICA!$B$146</definedName>
    <definedName name="ICA_E_FEEGP03">ICA!$B$154</definedName>
    <definedName name="ICA_E_FEEGQ01">ICA!$B$137</definedName>
    <definedName name="ICA_E_FEEGQ02">ICA!$B$145</definedName>
    <definedName name="ICA_E_FEEGQ03">ICA!$B$153</definedName>
    <definedName name="ICA_E_TUITGP01">ICA!$B$135</definedName>
    <definedName name="ICA_E_TUITGP02">ICA!$B$143</definedName>
    <definedName name="ICA_E_TUITGP03">ICA!$B$151</definedName>
    <definedName name="ICA_E_TUITGQ01">ICA!$B$134</definedName>
    <definedName name="ICA_E_TUITGQ02">ICA!$B$142</definedName>
    <definedName name="ICA_E_TUITGQ03">ICA!$B$150</definedName>
    <definedName name="ICA_UNITID">ICA!$B$1</definedName>
    <definedName name="IPEDS_Data_NR">ICA!$A$1:$D$184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59" i="1" l="1"/>
  <c r="E158" i="1"/>
  <c r="E100" i="1"/>
  <c r="E90" i="1"/>
  <c r="E89" i="1"/>
  <c r="E88" i="1"/>
  <c r="E95" i="1"/>
  <c r="E166" i="1"/>
  <c r="E163" i="1"/>
  <c r="E162" i="1"/>
  <c r="E156" i="1"/>
  <c r="E154" i="1"/>
  <c r="E153" i="1"/>
  <c r="E152" i="1"/>
  <c r="E151" i="1"/>
  <c r="E150" i="1"/>
  <c r="E149" i="1"/>
  <c r="E146" i="1"/>
  <c r="E145" i="1"/>
  <c r="E144" i="1"/>
  <c r="E143" i="1"/>
  <c r="E142" i="1"/>
  <c r="E141" i="1"/>
  <c r="E138" i="1"/>
  <c r="E137" i="1"/>
  <c r="E136" i="1"/>
  <c r="E135" i="1"/>
  <c r="E134" i="1"/>
  <c r="E133" i="1"/>
  <c r="E127" i="1"/>
  <c r="E126" i="1"/>
  <c r="E125" i="1"/>
  <c r="E121" i="1"/>
  <c r="E120" i="1"/>
  <c r="E119" i="1"/>
  <c r="E115" i="1"/>
  <c r="E114" i="1"/>
  <c r="E113" i="1"/>
  <c r="E111" i="1"/>
  <c r="E110" i="1"/>
  <c r="E109" i="1"/>
  <c r="E104" i="1"/>
  <c r="E103" i="1"/>
  <c r="E98" i="1"/>
  <c r="E93" i="1"/>
  <c r="E87" i="1"/>
  <c r="E84" i="1"/>
  <c r="B164" i="1"/>
  <c r="B160" i="1"/>
  <c r="B155" i="1"/>
  <c r="B147" i="1"/>
  <c r="B139"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BE4E119-33FA-4889-9F03-C8F3B3FCACEF}" keepAlive="1" name="Query - Base_Result_Table" description="Connection to the 'Base_Result_Table' query in the workbook." type="5" refreshedVersion="0">
    <dbPr connection="Provider=Microsoft.Mashup.OleDb.1;Data Source=$Workbook$;Location=Base_Result_Table;Extended Properties=&quot;&quot;" command="SELECT * FROM [Base_Result_Table]"/>
  </connection>
  <connection id="2" xr16:uid="{290D65DA-B6DE-4F11-8D04-7851F87EA06C}" keepAlive="1" name="Query - IPEDS_Field_Values" description="Connection to the 'IPEDS_Field_Values' query in the workbook." type="5" refreshedVersion="8" saveData="1">
    <dbPr connection="Provider=Microsoft.Mashup.OleDb.1;Data Source=$Workbook$;Location=IPEDS_Field_Values;Extended Properties=&quot;&quot;" command="SELECT * FROM [IPEDS_Field_Values]"/>
  </connection>
  <connection id="3" xr16:uid="{DEEE3701-3B91-41F8-BF8C-3B29779D8313}" keepAlive="1" name="Query - PartA" description="Connection to the 'PartA' query in the workbook." type="5" refreshedVersion="0">
    <dbPr connection="Provider=Microsoft.Mashup.OleDb.1;Data Source=$Workbook$;Location=PartA;Extended Properties=&quot;&quot;" command="SELECT * FROM [PartA]"/>
  </connection>
  <connection id="4" xr16:uid="{23A07D4A-F833-47BD-BA4C-E665AAFEA6E6}" keepAlive="1" name="Query - PartB" description="Connection to the 'PartB' query in the workbook." type="5" refreshedVersion="0">
    <dbPr connection="Provider=Microsoft.Mashup.OleDb.1;Data Source=$Workbook$;Location=PartB;Extended Properties=&quot;&quot;" command="SELECT * FROM [PartB]"/>
  </connection>
  <connection id="5" xr16:uid="{0768D3C3-B594-4D46-B6B6-01055451E0C1}" keepAlive="1" name="Query - PartC" description="Connection to the 'PartC' query in the workbook." type="5" refreshedVersion="0">
    <dbPr connection="Provider=Microsoft.Mashup.OleDb.1;Data Source=$Workbook$;Location=PartC;Extended Properties=&quot;&quot;" command="SELECT * FROM [PartC]"/>
  </connection>
  <connection id="6" xr16:uid="{D2447B16-D6D7-4FDA-AF9F-C2EA5F2429AE}" keepAlive="1" name="Query - PartD" description="Connection to the 'PartD' query in the workbook." type="5" refreshedVersion="0">
    <dbPr connection="Provider=Microsoft.Mashup.OleDb.1;Data Source=$Workbook$;Location=PartD;Extended Properties=&quot;&quot;" command="SELECT * FROM [PartD]"/>
  </connection>
  <connection id="7" xr16:uid="{E7D3B7D7-53AB-40FA-A251-CBCC75BE70AE}" keepAlive="1" name="Query - PartE" description="Connection to the 'PartE' query in the workbook." type="5" refreshedVersion="0">
    <dbPr connection="Provider=Microsoft.Mashup.OleDb.1;Data Source=$Workbook$;Location=PartE;Extended Properties=&quot;&quot;" command="SELECT * FROM [PartE]"/>
  </connection>
  <connection id="8" xr16:uid="{19301512-0082-411A-B558-05495526715C}" keepAlive="1" name="Query - PartF" description="Connection to the 'PartF' query in the workbook." type="5" refreshedVersion="0">
    <dbPr connection="Provider=Microsoft.Mashup.OleDb.1;Data Source=$Workbook$;Location=PartF;Extended Properties=&quot;&quot;" command="SELECT * FROM [PartF]"/>
  </connection>
  <connection id="9" xr16:uid="{FA91895C-0E05-401B-BF97-9C5B13889A60}" keepAlive="1" name="Query - Result_Table" description="Connection to the 'Result_Table' query in the workbook." type="5" refreshedVersion="8" saveData="1">
    <dbPr connection="Provider=Microsoft.Mashup.OleDb.1;Data Source=$Workbook$;Location=Result_Table;Extended Properties=&quot;&quot;" command="SELECT * FROM [Result_Table]"/>
  </connection>
  <connection id="10" xr16:uid="{80B18116-B370-4FD7-B4AD-A61838FCD6C8}" keepAlive="1" name="Query - SURVSECT" description="Connection to the 'SURVSECT' query in the workbook." type="5" refreshedVersion="0">
    <dbPr connection="Provider=Microsoft.Mashup.OleDb.1;Data Source=$Workbook$;Location=SURVSECT;Extended Properties=&quot;&quot;" command="SELECT * FROM [SURVSECT]"/>
  </connection>
  <connection id="11" xr16:uid="{C8A3C6A2-CB3A-4151-87AD-27BEA953381A}" keepAlive="1" name="Query - UNITID" description="Connection to the 'UNITID' query in the workbook." type="5" refreshedVersion="0">
    <dbPr connection="Provider=Microsoft.Mashup.OleDb.1;Data Source=$Workbook$;Location=UNITID;Extended Properties=&quot;&quot;" command="SELECT * FROM [UNITID]"/>
  </connection>
</connections>
</file>

<file path=xl/sharedStrings.xml><?xml version="1.0" encoding="utf-8"?>
<sst xmlns="http://schemas.openxmlformats.org/spreadsheetml/2006/main" count="348" uniqueCount="174">
  <si>
    <t>Part A</t>
  </si>
  <si>
    <t>Part B</t>
  </si>
  <si>
    <t>Which of the following are available to veterens, military servicemembers, or their families?</t>
  </si>
  <si>
    <t>Yellow Ribbon Program</t>
  </si>
  <si>
    <t>Credit for military training</t>
  </si>
  <si>
    <t>Recognized student veteran organization</t>
  </si>
  <si>
    <t>Member of Department of Defense Voluntary Educational Partnership Memorandum of Understanding</t>
  </si>
  <si>
    <t>Dedicated point of contact for support services for veterens, military servicemembers, and their families</t>
  </si>
  <si>
    <t>None of the above</t>
  </si>
  <si>
    <t>Context for data reported above</t>
  </si>
  <si>
    <t>No</t>
  </si>
  <si>
    <t>Yes</t>
  </si>
  <si>
    <t>Part C</t>
  </si>
  <si>
    <t>1. Does your institution accept any of the following? [check all that apply]</t>
  </si>
  <si>
    <t>Dual credit (college credit earned while in high school)</t>
  </si>
  <si>
    <t>Credit for life experiences</t>
  </si>
  <si>
    <t>Advanced placement (AP) credits</t>
  </si>
  <si>
    <t>2. What types of special learning opportunities are offered by your institution? [check all that apply]</t>
  </si>
  <si>
    <t>ROTC</t>
  </si>
  <si>
    <t>Army</t>
  </si>
  <si>
    <t>Navy</t>
  </si>
  <si>
    <t>Air Force</t>
  </si>
  <si>
    <t>Study abroad</t>
  </si>
  <si>
    <t>Teacher certification</t>
  </si>
  <si>
    <t>Students can complete their preparation in certain areas of specialization</t>
  </si>
  <si>
    <t>Students must complete their preparation at another institution for certain areas of specialization</t>
  </si>
  <si>
    <t>This institution is approved by the state for the initial certification or licensure of teachers</t>
  </si>
  <si>
    <t>4. Which of the following selected student services are offered by your institution? [Check all that apply]</t>
  </si>
  <si>
    <t>Academic/career counseling services</t>
  </si>
  <si>
    <t>Employment services for current students</t>
  </si>
  <si>
    <t>Placement services for program completers</t>
  </si>
  <si>
    <t>Physical facilities</t>
  </si>
  <si>
    <t>An organized collection of printed materials</t>
  </si>
  <si>
    <t>Access to digital/electronic resources</t>
  </si>
  <si>
    <t>A staff trained to provide and interpret library materials</t>
  </si>
  <si>
    <t>Established library hours</t>
  </si>
  <si>
    <t>Access to library collections that are shared with other institutions</t>
  </si>
  <si>
    <t>Tuition guarantee</t>
  </si>
  <si>
    <t>Prepaid tuition plan</t>
  </si>
  <si>
    <t>Tuition payment plan</t>
  </si>
  <si>
    <t>Other (specify in box below)</t>
  </si>
  <si>
    <t>You may use the space below to provide context for the alternative tuition plans you've reported above. These context notes will be posted on the College Navigator website, and should be written to be understood by students and parents.</t>
  </si>
  <si>
    <t>Enter comments here -&gt;</t>
  </si>
  <si>
    <t>Unit ID</t>
  </si>
  <si>
    <t>7. Please indicate at what level(s) your institution does or does not offer distance education courses and/or distance education programs. Check all that apply.</t>
  </si>
  <si>
    <t>5. Which of the following academic library resource or service does your institution provide? [Check all that apply]</t>
  </si>
  <si>
    <t>Undergraduate level</t>
  </si>
  <si>
    <t>Distance education courses</t>
  </si>
  <si>
    <t>Distance education programs</t>
  </si>
  <si>
    <t>Does not offer Distance Education</t>
  </si>
  <si>
    <t>8. Are all the programs at your institution offered exclusively via distance education programs?</t>
  </si>
  <si>
    <t>Answer here -&gt;</t>
  </si>
  <si>
    <t>9. Please indicate the percentage of all undergraduate students enrolled during Fall 2018 who were formally registered as students with disabilities with the institution's office of disability services (or the equivalent office).</t>
  </si>
  <si>
    <t>3 percent or less</t>
  </si>
  <si>
    <t>More than 3 percent</t>
  </si>
  <si>
    <t>You may use the space below to provide context for the alternative tuition plans you've You may use the space below to provide context for the data you've reported above. These context notes
will be posted on the College Navigator website, and should be written to be understood by students and parents.</t>
  </si>
  <si>
    <r>
      <t xml:space="preserve">1. Are all </t>
    </r>
    <r>
      <rPr>
        <b/>
        <u/>
        <sz val="11"/>
        <color theme="1"/>
        <rFont val="Calibri"/>
        <family val="2"/>
        <scheme val="minor"/>
      </rPr>
      <t>full-time</t>
    </r>
    <r>
      <rPr>
        <b/>
        <sz val="11"/>
        <color theme="1"/>
        <rFont val="Calibri"/>
        <family val="2"/>
        <scheme val="minor"/>
      </rPr>
      <t xml:space="preserve">, </t>
    </r>
    <r>
      <rPr>
        <b/>
        <u/>
        <sz val="11"/>
        <color theme="1"/>
        <rFont val="Calibri"/>
        <family val="2"/>
        <scheme val="minor"/>
      </rPr>
      <t>first-time</t>
    </r>
    <r>
      <rPr>
        <b/>
        <sz val="11"/>
        <color theme="1"/>
        <rFont val="Calibri"/>
        <family val="2"/>
        <scheme val="minor"/>
      </rPr>
      <t xml:space="preserve"> degree/certificate-seeking students required to live on campus or in institutionally controlled housing?</t>
    </r>
  </si>
  <si>
    <r>
      <t xml:space="preserve">2. Does your institution charge different </t>
    </r>
    <r>
      <rPr>
        <b/>
        <u/>
        <sz val="11"/>
        <color theme="1"/>
        <rFont val="Calibri"/>
        <family val="2"/>
        <scheme val="minor"/>
      </rPr>
      <t>tuition</t>
    </r>
    <r>
      <rPr>
        <b/>
        <sz val="11"/>
        <color theme="1"/>
        <rFont val="Calibri"/>
        <family val="2"/>
        <scheme val="minor"/>
      </rPr>
      <t xml:space="preserve"> for </t>
    </r>
    <r>
      <rPr>
        <b/>
        <u/>
        <sz val="11"/>
        <color theme="1"/>
        <rFont val="Calibri"/>
        <family val="2"/>
        <scheme val="minor"/>
      </rPr>
      <t>in-district</t>
    </r>
    <r>
      <rPr>
        <b/>
        <sz val="11"/>
        <color theme="1"/>
        <rFont val="Calibri"/>
        <family val="2"/>
        <scheme val="minor"/>
      </rPr>
      <t xml:space="preserve">, </t>
    </r>
    <r>
      <rPr>
        <b/>
        <u/>
        <sz val="11"/>
        <color theme="1"/>
        <rFont val="Calibri"/>
        <family val="2"/>
        <scheme val="minor"/>
      </rPr>
      <t>in-stat</t>
    </r>
    <r>
      <rPr>
        <b/>
        <sz val="11"/>
        <color theme="1"/>
        <rFont val="Calibri"/>
        <family val="2"/>
        <scheme val="minor"/>
      </rPr>
      <t xml:space="preserve">e, or </t>
    </r>
    <r>
      <rPr>
        <b/>
        <u/>
        <sz val="11"/>
        <color theme="1"/>
        <rFont val="Calibri"/>
        <family val="2"/>
        <scheme val="minor"/>
      </rPr>
      <t>out-of-state</t>
    </r>
    <r>
      <rPr>
        <b/>
        <sz val="11"/>
        <color theme="1"/>
        <rFont val="Calibri"/>
        <family val="2"/>
        <scheme val="minor"/>
      </rPr>
      <t xml:space="preserve"> students?</t>
    </r>
  </si>
  <si>
    <t>4. Do you offer board or meal plans to your students?</t>
  </si>
  <si>
    <r>
      <t xml:space="preserve">3. Does your institution offer </t>
    </r>
    <r>
      <rPr>
        <b/>
        <u/>
        <sz val="11"/>
        <color theme="1"/>
        <rFont val="Calibri"/>
        <family val="2"/>
        <scheme val="minor"/>
      </rPr>
      <t>institutionally-controlled housing</t>
    </r>
    <r>
      <rPr>
        <b/>
        <sz val="11"/>
        <color theme="1"/>
        <rFont val="Calibri"/>
        <family val="2"/>
        <scheme val="minor"/>
      </rPr>
      <t xml:space="preserve"> (either on or off campus)?</t>
    </r>
  </si>
  <si>
    <t>If the institution charges an application fee, indicate the amount.</t>
  </si>
  <si>
    <t>Undergraduate application fee</t>
  </si>
  <si>
    <t>5. Charges to full-time undergraduate students for the full academic year 2018-19</t>
  </si>
  <si>
    <t>All full-time undergraduate students</t>
  </si>
  <si>
    <t>In-district</t>
  </si>
  <si>
    <t>In-state</t>
  </si>
  <si>
    <t>Out-of-state</t>
  </si>
  <si>
    <t>Average tuition</t>
  </si>
  <si>
    <t>Required fees</t>
  </si>
  <si>
    <r>
      <t xml:space="preserve">6. Per </t>
    </r>
    <r>
      <rPr>
        <b/>
        <u/>
        <sz val="11"/>
        <color theme="1"/>
        <rFont val="Calibri"/>
        <family val="2"/>
        <scheme val="minor"/>
      </rPr>
      <t>credit hour</t>
    </r>
    <r>
      <rPr>
        <b/>
        <sz val="11"/>
        <color theme="1"/>
        <rFont val="Calibri"/>
        <family val="2"/>
        <scheme val="minor"/>
      </rPr>
      <t xml:space="preserve"> charge for </t>
    </r>
    <r>
      <rPr>
        <b/>
        <u/>
        <sz val="11"/>
        <color theme="1"/>
        <rFont val="Calibri"/>
        <family val="2"/>
        <scheme val="minor"/>
      </rPr>
      <t>part-time undergraduate students</t>
    </r>
  </si>
  <si>
    <t>Per credit hour charge</t>
  </si>
  <si>
    <t>Graduate application fee</t>
  </si>
  <si>
    <t>Enter the number of meals per week in the maximum meal plan available</t>
  </si>
  <si>
    <t>11. Cost of attendance for full-time, first-time undergraduate students</t>
  </si>
  <si>
    <t>Published tuition and required fees:</t>
  </si>
  <si>
    <t>Tuition</t>
  </si>
  <si>
    <t>Required Fees</t>
  </si>
  <si>
    <t>Tuition + fees total</t>
  </si>
  <si>
    <t>Room and board charges</t>
  </si>
  <si>
    <t>Room charge (Double occupancy)</t>
  </si>
  <si>
    <t>Board charge (Maximum plan)</t>
  </si>
  <si>
    <t>Combined room and board charge</t>
  </si>
  <si>
    <t>Tuition Guarantee</t>
  </si>
  <si>
    <t>Guaranteed increase %</t>
  </si>
  <si>
    <t>Books and supplies</t>
  </si>
  <si>
    <t>On-campus:</t>
  </si>
  <si>
    <t>Room and board</t>
  </si>
  <si>
    <t>Other expenses</t>
  </si>
  <si>
    <t>Room and board and other expenses</t>
  </si>
  <si>
    <t>Off-campus (not with family):</t>
  </si>
  <si>
    <t>Off-campus (with family):</t>
  </si>
  <si>
    <t>ICA_A_DA03</t>
  </si>
  <si>
    <t>ICA_A_DA04</t>
  </si>
  <si>
    <t>ICA_A_DA06</t>
  </si>
  <si>
    <t>ICA_A_DA07</t>
  </si>
  <si>
    <t>ICA_A_DA08</t>
  </si>
  <si>
    <t>ICA_A_DA09</t>
  </si>
  <si>
    <t>ICA_A_DA10</t>
  </si>
  <si>
    <t>ICA_B_DB01</t>
  </si>
  <si>
    <t>ICA_B_DB02</t>
  </si>
  <si>
    <t>ICA_B_DB03</t>
  </si>
  <si>
    <t>ICA_B_DB04</t>
  </si>
  <si>
    <t>ICA_B_DB05</t>
  </si>
  <si>
    <t>ICA_B_DB06</t>
  </si>
  <si>
    <t>ICA_B_DB07</t>
  </si>
  <si>
    <t>ICA_B_DB08</t>
  </si>
  <si>
    <t>ICA_B_DB09</t>
  </si>
  <si>
    <t>ICA_D_DD01</t>
  </si>
  <si>
    <t>ICA_D_DD02</t>
  </si>
  <si>
    <t>ICA_D_DD03</t>
  </si>
  <si>
    <t>ICA_E_DE011</t>
  </si>
  <si>
    <t>ICA_E_DE012</t>
  </si>
  <si>
    <t>ICA_E_DE021</t>
  </si>
  <si>
    <t>ICA_E_DE022</t>
  </si>
  <si>
    <t>ICA_E_DE031</t>
  </si>
  <si>
    <t>ICA_E_DE032</t>
  </si>
  <si>
    <t>ICA_E_DE07</t>
  </si>
  <si>
    <t>ICA_E_DE08</t>
  </si>
  <si>
    <t>ICA_E_DE09</t>
  </si>
  <si>
    <t>ICA_E_DE10</t>
  </si>
  <si>
    <t>ICA_E_DE11</t>
  </si>
  <si>
    <t>ICA_E_DE12</t>
  </si>
  <si>
    <t>ICA_E_FEEGP01</t>
  </si>
  <si>
    <t>ICA_E_FEEGP02</t>
  </si>
  <si>
    <t>ICA_E_FEEGP03</t>
  </si>
  <si>
    <t>ICA_E_FEEGQ01</t>
  </si>
  <si>
    <t>ICA_E_FEEGQ02</t>
  </si>
  <si>
    <t>ICA_E_FEEGQ03</t>
  </si>
  <si>
    <t>ICA_E_TUITGP01</t>
  </si>
  <si>
    <t>ICA_E_TUITGP02</t>
  </si>
  <si>
    <t>ICA_E_TUITGP03</t>
  </si>
  <si>
    <t>ICA_E_TUITGQ01</t>
  </si>
  <si>
    <t>ICA_E_TUITGQ02</t>
  </si>
  <si>
    <t>ICA_E_TUITGQ03</t>
  </si>
  <si>
    <t>Field</t>
  </si>
  <si>
    <t>Value</t>
  </si>
  <si>
    <t>ICA_UNITID</t>
  </si>
  <si>
    <t>NA</t>
  </si>
  <si>
    <t>ROW</t>
  </si>
  <si>
    <t>UNITID=198668,SURVSECT=ICA,PART=B,DB01=2432,DB02=2432,DB03=8576,DB04=148,DB05=148,DB06=148,DB07=76,DB08=76,DB09=268</t>
  </si>
  <si>
    <t>Haywood Community College partners with Nelnet Campus Commerce to provide an affordable payment plan for tuition and fees.</t>
  </si>
  <si>
    <t>No board or meal plans for students</t>
  </si>
  <si>
    <t>Marine option</t>
  </si>
  <si>
    <t>Comprehensive transition and postsecondary program for students with intellectual disabilities</t>
  </si>
  <si>
    <t>Weekend/evening courses and programs</t>
  </si>
  <si>
    <t>Undergraduate research (co-curricula)</t>
  </si>
  <si>
    <t>On-campus dependent care</t>
  </si>
  <si>
    <t>6a. Indicate whether or not any of the following alternative tuition plans are offered by your institution.</t>
  </si>
  <si>
    <t>Yes/No</t>
  </si>
  <si>
    <t>6b. Indicate whether or not your institution participates in a Promise program.</t>
  </si>
  <si>
    <t>Specify housing capacity for academic year 2022-2023.</t>
  </si>
  <si>
    <t>10. What are the typical room and board charges for a student for the full academic year 2022-23?</t>
  </si>
  <si>
    <t>Part D - Athletic Association</t>
  </si>
  <si>
    <t>National Collegiate Athletic Association (NCAA)</t>
  </si>
  <si>
    <t>National Association of Intercollegiate Athletics (NAIA)</t>
  </si>
  <si>
    <t>National Junior College Athletic Association (NJCAA)</t>
  </si>
  <si>
    <t>United States Collegiate Athletic Association (USCAA)</t>
  </si>
  <si>
    <t>National Christian College Athletic Association (NCCAA)</t>
  </si>
  <si>
    <t>Other</t>
  </si>
  <si>
    <t>1. Is this institution a member of a national atheletic association?</t>
  </si>
  <si>
    <t>1. If this institution is a member of the NCAA or NAIA, sepcify the conference FOR EACH SPORT using the pull-down menu.</t>
  </si>
  <si>
    <t>Sport</t>
  </si>
  <si>
    <t>NCAA or NAIA member</t>
  </si>
  <si>
    <t>Conference</t>
  </si>
  <si>
    <t>Football</t>
  </si>
  <si>
    <t>Basketball</t>
  </si>
  <si>
    <t>Baseball</t>
  </si>
  <si>
    <t>ICA_A_DA071</t>
  </si>
  <si>
    <t>ICA_A_DA072</t>
  </si>
  <si>
    <t>ICA_A_DA073</t>
  </si>
  <si>
    <t>Cross country and/or track</t>
  </si>
  <si>
    <t>ICA_A_DA11</t>
  </si>
  <si>
    <t>UNITID=198668,SURVSECT=ICA,PART=A,DA06=02,DA07=01,DA071=02,DA072=01,DA073=01,DA08=02,DA09=-2,DA10=03,DA11=-2,DA03=0,DA04=-2</t>
  </si>
  <si>
    <t>UNITID=198668,SURVSECT=ICA,PART=E,DE011=2432,TUITGQ01=-2,TUITGP01=-2,DE012=148,FEEGQ01=-2,FEEGP01=-2,DE021=2432,TUITGQ02=-2,TUITGP02=-2,DE022=148,FEEGQ02=-2,FEEGP02=-2,DE031=8576,TUITGQ03=-2,TUITGP03=-2,DE032=148,FEEGQ03=-2,FEEGP03=-2,DE07=1390,DE08=-2,DE09=-2,DE10=8822,DE11=5585,DE12=5585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</si>
</sst>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b/>
      <sz val="16"/>
      <color theme="1"/>
      <name val="Calibri"/>
      <family val="2"/>
      <scheme val="minor"/>
    </font>
    <font>
      <b/>
      <u/>
      <sz val="11"/>
      <color theme="1"/>
      <name val="Calibri"/>
      <family val="2"/>
      <scheme val="minor"/>
    </font>
  </fonts>
  <fills count="6">
    <fill>
      <patternFill patternType="none"/>
    </fill>
    <fill>
      <patternFill patternType="gray125"/>
    </fill>
    <fill>
      <patternFill patternType="solid">
        <fgColor theme="9" tint="0.39997558519241921"/>
        <bgColor indexed="64"/>
      </patternFill>
    </fill>
    <fill>
      <patternFill patternType="solid">
        <fgColor theme="5" tint="-0.249977111117893"/>
        <bgColor indexed="64"/>
      </patternFill>
    </fill>
    <fill>
      <patternFill patternType="solid">
        <fgColor theme="4" tint="0.79998168889431442"/>
        <bgColor indexed="64"/>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24">
    <xf numFmtId="0" fontId="0" fillId="0" borderId="0" xfId="0"/>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2" fillId="0" borderId="0" xfId="0" applyFont="1" applyAlignment="1">
      <alignment vertical="top"/>
    </xf>
    <xf numFmtId="0" fontId="0" fillId="0" borderId="0" xfId="0" applyAlignment="1">
      <alignment horizontal="left" vertical="top" indent="1"/>
    </xf>
    <xf numFmtId="0" fontId="0" fillId="0" borderId="0" xfId="0" applyAlignment="1">
      <alignment horizontal="left" vertical="top" wrapText="1" indent="1"/>
    </xf>
    <xf numFmtId="0" fontId="0" fillId="0" borderId="0" xfId="0" applyAlignment="1">
      <alignment horizontal="left" vertical="top" indent="2"/>
    </xf>
    <xf numFmtId="0" fontId="1" fillId="0" borderId="0" xfId="0" applyFont="1" applyAlignment="1">
      <alignment horizontal="left" vertical="top" wrapText="1"/>
    </xf>
    <xf numFmtId="0" fontId="0" fillId="0" borderId="0" xfId="0" applyFont="1" applyAlignment="1">
      <alignment horizontal="left" vertical="top" wrapText="1"/>
    </xf>
    <xf numFmtId="0" fontId="0" fillId="0" borderId="0" xfId="0" applyFont="1" applyAlignment="1">
      <alignment horizontal="left" vertical="top" wrapText="1" indent="1"/>
    </xf>
    <xf numFmtId="0" fontId="0" fillId="0" borderId="0" xfId="0" applyAlignment="1">
      <alignment horizontal="left" vertical="top" indent="3"/>
    </xf>
    <xf numFmtId="49" fontId="0" fillId="2" borderId="1" xfId="0" applyNumberFormat="1" applyFill="1" applyBorder="1" applyAlignment="1">
      <alignment vertical="top" wrapText="1"/>
    </xf>
    <xf numFmtId="0" fontId="0" fillId="2" borderId="1" xfId="0" applyFill="1" applyBorder="1" applyAlignment="1">
      <alignment vertical="top" wrapText="1"/>
    </xf>
    <xf numFmtId="0" fontId="0" fillId="2" borderId="2" xfId="0" applyFill="1" applyBorder="1" applyAlignment="1">
      <alignment vertical="top" wrapText="1"/>
    </xf>
    <xf numFmtId="0" fontId="0" fillId="3" borderId="1" xfId="0" applyFill="1" applyBorder="1" applyAlignment="1">
      <alignment vertical="top" wrapText="1"/>
    </xf>
    <xf numFmtId="0" fontId="0" fillId="4" borderId="1" xfId="0" applyFill="1" applyBorder="1" applyAlignment="1">
      <alignment vertical="top" wrapText="1"/>
    </xf>
    <xf numFmtId="0" fontId="0" fillId="0" borderId="0" xfId="0" applyFill="1" applyAlignment="1">
      <alignment vertical="top" wrapText="1"/>
    </xf>
    <xf numFmtId="0" fontId="0" fillId="5" borderId="1" xfId="0" applyFill="1" applyBorder="1" applyAlignment="1">
      <alignment vertical="top" wrapText="1"/>
    </xf>
    <xf numFmtId="0" fontId="0" fillId="5" borderId="2" xfId="0" applyFill="1" applyBorder="1" applyAlignment="1">
      <alignment vertical="top" wrapText="1"/>
    </xf>
    <xf numFmtId="0" fontId="0" fillId="2" borderId="1" xfId="0" applyFont="1" applyFill="1" applyBorder="1" applyAlignment="1">
      <alignment horizontal="left" vertical="top" wrapText="1"/>
    </xf>
    <xf numFmtId="0" fontId="0" fillId="0" borderId="0" xfId="0" applyNumberFormat="1"/>
    <xf numFmtId="0" fontId="1" fillId="0" borderId="0" xfId="0" applyFont="1" applyAlignment="1">
      <alignment horizontal="left" vertical="top" wrapText="1"/>
    </xf>
    <xf numFmtId="0" fontId="0" fillId="0" borderId="0" xfId="0" applyAlignment="1">
      <alignment horizontal="left" vertical="top" wrapText="1"/>
    </xf>
  </cellXfs>
  <cellStyles count="1">
    <cellStyle name="Normal" xfId="0" builtinId="0"/>
  </cellStyles>
  <dxfs count="3">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connections" Target="connection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6</xdr:col>
      <xdr:colOff>47625</xdr:colOff>
      <xdr:row>0</xdr:row>
      <xdr:rowOff>38100</xdr:rowOff>
    </xdr:from>
    <xdr:to>
      <xdr:col>8</xdr:col>
      <xdr:colOff>133350</xdr:colOff>
      <xdr:row>1</xdr:row>
      <xdr:rowOff>180975</xdr:rowOff>
    </xdr:to>
    <xdr:sp macro="[0]!Sheet1.List_All_Defined_Name" textlink="">
      <xdr:nvSpPr>
        <xdr:cNvPr id="2" name="Rectangle 1">
          <a:extLst>
            <a:ext uri="{FF2B5EF4-FFF2-40B4-BE49-F238E27FC236}">
              <a16:creationId xmlns:a16="http://schemas.microsoft.com/office/drawing/2014/main" id="{17D6239E-DF23-495A-BB4B-995D562FAD51}"/>
            </a:ext>
          </a:extLst>
        </xdr:cNvPr>
        <xdr:cNvSpPr/>
      </xdr:nvSpPr>
      <xdr:spPr>
        <a:xfrm>
          <a:off x="10172700" y="38100"/>
          <a:ext cx="1304925"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Create File</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35A62A24-D4C1-47DC-A6D7-FF81B04D2782}" autoFormatId="16" applyNumberFormats="0" applyBorderFormats="0" applyFontFormats="0" applyPatternFormats="0" applyAlignmentFormats="0" applyWidthHeightFormats="0">
  <queryTableRefresh nextId="2">
    <queryTableFields count="1">
      <queryTableField id="1" name="ROW"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DC1E1AA-29EF-4525-B7E5-3A2D4AA86011}" name="Fields_Table" displayName="Fields_Table" ref="A1:B48" totalsRowShown="0">
  <autoFilter ref="A1:B48" xr:uid="{DDC1E1AA-29EF-4525-B7E5-3A2D4AA86011}"/>
  <tableColumns count="2">
    <tableColumn id="1" xr3:uid="{4E597842-D4C8-477C-BDC9-469BB8FEC614}" name="Field" dataDxfId="2"/>
    <tableColumn id="2" xr3:uid="{F61D7ED2-49BD-4E6C-AEF3-0D78AF3071B4}" name="Value"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B270191-B0A8-47A9-A76A-AAFADA9968CB}" name="Result_Table" displayName="Result_Table" ref="A1:A4" tableType="queryTable" totalsRowShown="0">
  <autoFilter ref="A1:A4" xr:uid="{2245C4D5-24F8-43F9-BCA8-26252C7044BF}"/>
  <tableColumns count="1">
    <tableColumn id="1" xr3:uid="{7C7F17D8-CE4C-4139-8BE9-D2AC4173E5DB}" uniqueName="1" name="ROW"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D8BC5-7467-4693-9836-F079E2876203}">
  <sheetPr codeName="Sheet1"/>
  <dimension ref="A1:E184"/>
  <sheetViews>
    <sheetView showGridLines="0" tabSelected="1" topLeftCell="A24" zoomScaleNormal="100" workbookViewId="0">
      <selection activeCell="B33" sqref="B33"/>
    </sheetView>
  </sheetViews>
  <sheetFormatPr defaultRowHeight="15" x14ac:dyDescent="0.25"/>
  <cols>
    <col min="1" max="1" width="50.85546875" style="1" customWidth="1"/>
    <col min="2" max="2" width="54.28515625" style="2" customWidth="1"/>
    <col min="3" max="3" width="9.140625" style="1"/>
    <col min="4" max="4" width="19.28515625" customWidth="1"/>
    <col min="5" max="5" width="0" style="21" hidden="1" customWidth="1"/>
  </cols>
  <sheetData>
    <row r="1" spans="1:4" ht="21" x14ac:dyDescent="0.25">
      <c r="A1" s="4" t="s">
        <v>43</v>
      </c>
      <c r="B1" s="12">
        <v>198668</v>
      </c>
      <c r="D1" t="s">
        <v>136</v>
      </c>
    </row>
    <row r="3" spans="1:4" ht="21" x14ac:dyDescent="0.25">
      <c r="A3" s="4" t="s">
        <v>0</v>
      </c>
    </row>
    <row r="4" spans="1:4" x14ac:dyDescent="0.25">
      <c r="A4" s="3" t="s">
        <v>2</v>
      </c>
    </row>
    <row r="5" spans="1:4" x14ac:dyDescent="0.25">
      <c r="A5" s="2" t="s">
        <v>3</v>
      </c>
      <c r="B5" s="13" t="s">
        <v>10</v>
      </c>
    </row>
    <row r="6" spans="1:4" x14ac:dyDescent="0.25">
      <c r="A6" s="2" t="s">
        <v>4</v>
      </c>
      <c r="B6" s="13" t="s">
        <v>11</v>
      </c>
    </row>
    <row r="7" spans="1:4" ht="60" x14ac:dyDescent="0.25">
      <c r="A7" s="2" t="s">
        <v>7</v>
      </c>
      <c r="B7" s="13" t="s">
        <v>11</v>
      </c>
    </row>
    <row r="8" spans="1:4" ht="30" x14ac:dyDescent="0.25">
      <c r="A8" s="2" t="s">
        <v>5</v>
      </c>
      <c r="B8" s="13" t="s">
        <v>11</v>
      </c>
    </row>
    <row r="9" spans="1:4" ht="45" x14ac:dyDescent="0.25">
      <c r="A9" s="2" t="s">
        <v>6</v>
      </c>
      <c r="B9" s="14" t="s">
        <v>11</v>
      </c>
    </row>
    <row r="10" spans="1:4" x14ac:dyDescent="0.25">
      <c r="A10" s="2" t="s">
        <v>8</v>
      </c>
      <c r="B10" s="15" t="s">
        <v>10</v>
      </c>
    </row>
    <row r="12" spans="1:4" x14ac:dyDescent="0.25">
      <c r="A12" s="1" t="s">
        <v>9</v>
      </c>
      <c r="B12" s="13"/>
    </row>
    <row r="14" spans="1:4" ht="21" x14ac:dyDescent="0.25">
      <c r="A14" s="4" t="s">
        <v>1</v>
      </c>
    </row>
    <row r="15" spans="1:4" x14ac:dyDescent="0.25">
      <c r="A15" s="22" t="s">
        <v>13</v>
      </c>
      <c r="B15" s="22"/>
    </row>
    <row r="16" spans="1:4" ht="30" x14ac:dyDescent="0.25">
      <c r="A16" s="2" t="s">
        <v>14</v>
      </c>
      <c r="B16" s="13" t="s">
        <v>11</v>
      </c>
    </row>
    <row r="17" spans="1:2" x14ac:dyDescent="0.25">
      <c r="A17" s="2" t="s">
        <v>15</v>
      </c>
      <c r="B17" s="13" t="s">
        <v>10</v>
      </c>
    </row>
    <row r="18" spans="1:2" x14ac:dyDescent="0.25">
      <c r="A18" s="2" t="s">
        <v>16</v>
      </c>
      <c r="B18" s="13" t="s">
        <v>11</v>
      </c>
    </row>
    <row r="19" spans="1:2" x14ac:dyDescent="0.25">
      <c r="A19" s="2" t="s">
        <v>8</v>
      </c>
      <c r="B19" s="15" t="s">
        <v>10</v>
      </c>
    </row>
    <row r="21" spans="1:2" ht="32.25" customHeight="1" x14ac:dyDescent="0.25">
      <c r="A21" s="22" t="s">
        <v>17</v>
      </c>
      <c r="B21" s="22"/>
    </row>
    <row r="22" spans="1:2" x14ac:dyDescent="0.25">
      <c r="A22" s="1" t="s">
        <v>18</v>
      </c>
      <c r="B22" s="13" t="s">
        <v>10</v>
      </c>
    </row>
    <row r="23" spans="1:2" x14ac:dyDescent="0.25">
      <c r="A23" s="5" t="s">
        <v>19</v>
      </c>
      <c r="B23" s="18" t="s">
        <v>10</v>
      </c>
    </row>
    <row r="24" spans="1:2" x14ac:dyDescent="0.25">
      <c r="A24" s="5" t="s">
        <v>20</v>
      </c>
      <c r="B24" s="18" t="s">
        <v>10</v>
      </c>
    </row>
    <row r="25" spans="1:2" x14ac:dyDescent="0.25">
      <c r="A25" s="7" t="s">
        <v>142</v>
      </c>
      <c r="B25" s="18" t="s">
        <v>10</v>
      </c>
    </row>
    <row r="26" spans="1:2" x14ac:dyDescent="0.25">
      <c r="A26" s="5" t="s">
        <v>21</v>
      </c>
      <c r="B26" s="18" t="s">
        <v>10</v>
      </c>
    </row>
    <row r="27" spans="1:2" x14ac:dyDescent="0.25">
      <c r="A27" s="1" t="s">
        <v>22</v>
      </c>
      <c r="B27" s="13" t="s">
        <v>10</v>
      </c>
    </row>
    <row r="28" spans="1:2" x14ac:dyDescent="0.25">
      <c r="A28" s="1" t="s">
        <v>144</v>
      </c>
      <c r="B28" s="13" t="s">
        <v>11</v>
      </c>
    </row>
    <row r="29" spans="1:2" x14ac:dyDescent="0.25">
      <c r="A29" s="1" t="s">
        <v>145</v>
      </c>
      <c r="B29" s="13" t="s">
        <v>10</v>
      </c>
    </row>
    <row r="30" spans="1:2" x14ac:dyDescent="0.25">
      <c r="A30" s="1" t="s">
        <v>23</v>
      </c>
      <c r="B30" s="13" t="s">
        <v>11</v>
      </c>
    </row>
    <row r="31" spans="1:2" ht="30" x14ac:dyDescent="0.25">
      <c r="A31" s="6" t="s">
        <v>24</v>
      </c>
      <c r="B31" s="18" t="s">
        <v>10</v>
      </c>
    </row>
    <row r="32" spans="1:2" ht="30" x14ac:dyDescent="0.25">
      <c r="A32" s="6" t="s">
        <v>25</v>
      </c>
      <c r="B32" s="19" t="s">
        <v>11</v>
      </c>
    </row>
    <row r="33" spans="1:2" ht="30" x14ac:dyDescent="0.25">
      <c r="A33" s="6" t="s">
        <v>26</v>
      </c>
      <c r="B33" s="18" t="s">
        <v>10</v>
      </c>
    </row>
    <row r="34" spans="1:2" ht="30" x14ac:dyDescent="0.25">
      <c r="A34" s="6" t="s">
        <v>143</v>
      </c>
      <c r="B34" s="13" t="s">
        <v>11</v>
      </c>
    </row>
    <row r="35" spans="1:2" x14ac:dyDescent="0.25">
      <c r="A35" s="2" t="s">
        <v>8</v>
      </c>
      <c r="B35" s="15" t="s">
        <v>10</v>
      </c>
    </row>
    <row r="37" spans="1:2" ht="30" customHeight="1" x14ac:dyDescent="0.25">
      <c r="A37" s="22" t="s">
        <v>27</v>
      </c>
      <c r="B37" s="22"/>
    </row>
    <row r="38" spans="1:2" x14ac:dyDescent="0.25">
      <c r="A38" s="2" t="s">
        <v>28</v>
      </c>
      <c r="B38" s="13" t="s">
        <v>11</v>
      </c>
    </row>
    <row r="39" spans="1:2" x14ac:dyDescent="0.25">
      <c r="A39" s="2" t="s">
        <v>29</v>
      </c>
      <c r="B39" s="13" t="s">
        <v>11</v>
      </c>
    </row>
    <row r="40" spans="1:2" x14ac:dyDescent="0.25">
      <c r="A40" s="2" t="s">
        <v>30</v>
      </c>
      <c r="B40" s="13" t="s">
        <v>11</v>
      </c>
    </row>
    <row r="41" spans="1:2" x14ac:dyDescent="0.25">
      <c r="A41" s="2" t="s">
        <v>146</v>
      </c>
      <c r="B41" s="13" t="s">
        <v>11</v>
      </c>
    </row>
    <row r="42" spans="1:2" x14ac:dyDescent="0.25">
      <c r="A42" s="2" t="s">
        <v>8</v>
      </c>
      <c r="B42" s="15" t="s">
        <v>10</v>
      </c>
    </row>
    <row r="44" spans="1:2" ht="30" customHeight="1" x14ac:dyDescent="0.25">
      <c r="A44" s="22" t="s">
        <v>45</v>
      </c>
      <c r="B44" s="22"/>
    </row>
    <row r="45" spans="1:2" x14ac:dyDescent="0.25">
      <c r="A45" s="2" t="s">
        <v>31</v>
      </c>
      <c r="B45" s="13" t="s">
        <v>11</v>
      </c>
    </row>
    <row r="46" spans="1:2" x14ac:dyDescent="0.25">
      <c r="A46" s="2" t="s">
        <v>32</v>
      </c>
      <c r="B46" s="13" t="s">
        <v>11</v>
      </c>
    </row>
    <row r="47" spans="1:2" x14ac:dyDescent="0.25">
      <c r="A47" s="2" t="s">
        <v>33</v>
      </c>
      <c r="B47" s="13" t="s">
        <v>11</v>
      </c>
    </row>
    <row r="48" spans="1:2" ht="30" x14ac:dyDescent="0.25">
      <c r="A48" s="2" t="s">
        <v>34</v>
      </c>
      <c r="B48" s="13" t="s">
        <v>11</v>
      </c>
    </row>
    <row r="49" spans="1:2" x14ac:dyDescent="0.25">
      <c r="A49" s="2" t="s">
        <v>35</v>
      </c>
      <c r="B49" s="13" t="s">
        <v>11</v>
      </c>
    </row>
    <row r="50" spans="1:2" ht="30" x14ac:dyDescent="0.25">
      <c r="A50" s="2" t="s">
        <v>36</v>
      </c>
      <c r="B50" s="13" t="s">
        <v>11</v>
      </c>
    </row>
    <row r="51" spans="1:2" x14ac:dyDescent="0.25">
      <c r="A51" s="2" t="s">
        <v>8</v>
      </c>
      <c r="B51" s="15" t="s">
        <v>10</v>
      </c>
    </row>
    <row r="53" spans="1:2" ht="30" customHeight="1" x14ac:dyDescent="0.25">
      <c r="A53" s="22" t="s">
        <v>147</v>
      </c>
      <c r="B53" s="22"/>
    </row>
    <row r="54" spans="1:2" x14ac:dyDescent="0.25">
      <c r="A54" s="9" t="s">
        <v>148</v>
      </c>
      <c r="B54" s="15" t="s">
        <v>11</v>
      </c>
    </row>
    <row r="55" spans="1:2" x14ac:dyDescent="0.25">
      <c r="A55" s="1" t="s">
        <v>37</v>
      </c>
      <c r="B55" s="13" t="s">
        <v>10</v>
      </c>
    </row>
    <row r="56" spans="1:2" x14ac:dyDescent="0.25">
      <c r="A56" s="1" t="s">
        <v>38</v>
      </c>
      <c r="B56" s="13" t="s">
        <v>10</v>
      </c>
    </row>
    <row r="57" spans="1:2" x14ac:dyDescent="0.25">
      <c r="A57" s="1" t="s">
        <v>39</v>
      </c>
      <c r="B57" s="13" t="s">
        <v>11</v>
      </c>
    </row>
    <row r="58" spans="1:2" x14ac:dyDescent="0.25">
      <c r="A58" s="1" t="s">
        <v>40</v>
      </c>
      <c r="B58" s="13" t="s">
        <v>10</v>
      </c>
    </row>
    <row r="60" spans="1:2" x14ac:dyDescent="0.25">
      <c r="A60" s="22" t="s">
        <v>149</v>
      </c>
      <c r="B60" s="22"/>
    </row>
    <row r="61" spans="1:2" x14ac:dyDescent="0.25">
      <c r="A61" s="1" t="s">
        <v>148</v>
      </c>
      <c r="B61" s="15" t="s">
        <v>11</v>
      </c>
    </row>
    <row r="63" spans="1:2" ht="47.25" customHeight="1" x14ac:dyDescent="0.25">
      <c r="A63" s="23" t="s">
        <v>41</v>
      </c>
      <c r="B63" s="23"/>
    </row>
    <row r="64" spans="1:2" ht="45" x14ac:dyDescent="0.25">
      <c r="A64" s="1" t="s">
        <v>42</v>
      </c>
      <c r="B64" s="13" t="s">
        <v>140</v>
      </c>
    </row>
    <row r="66" spans="1:2" ht="33" customHeight="1" x14ac:dyDescent="0.25">
      <c r="A66" s="22" t="s">
        <v>44</v>
      </c>
      <c r="B66" s="22"/>
    </row>
    <row r="67" spans="1:2" x14ac:dyDescent="0.25">
      <c r="A67" s="1" t="s">
        <v>46</v>
      </c>
      <c r="B67" s="17"/>
    </row>
    <row r="68" spans="1:2" x14ac:dyDescent="0.25">
      <c r="A68" s="1" t="s">
        <v>47</v>
      </c>
      <c r="B68" s="13" t="s">
        <v>11</v>
      </c>
    </row>
    <row r="69" spans="1:2" x14ac:dyDescent="0.25">
      <c r="A69" s="1" t="s">
        <v>48</v>
      </c>
      <c r="B69" s="13" t="s">
        <v>11</v>
      </c>
    </row>
    <row r="70" spans="1:2" x14ac:dyDescent="0.25">
      <c r="A70" s="1" t="s">
        <v>49</v>
      </c>
      <c r="B70" s="15" t="s">
        <v>10</v>
      </c>
    </row>
    <row r="72" spans="1:2" x14ac:dyDescent="0.25">
      <c r="A72" s="22" t="s">
        <v>50</v>
      </c>
      <c r="B72" s="22"/>
    </row>
    <row r="73" spans="1:2" x14ac:dyDescent="0.25">
      <c r="A73" s="1" t="s">
        <v>51</v>
      </c>
      <c r="B73" s="13" t="s">
        <v>10</v>
      </c>
    </row>
    <row r="75" spans="1:2" ht="46.5" customHeight="1" x14ac:dyDescent="0.25">
      <c r="A75" s="22" t="s">
        <v>52</v>
      </c>
      <c r="B75" s="22"/>
    </row>
    <row r="76" spans="1:2" x14ac:dyDescent="0.25">
      <c r="A76" s="1" t="s">
        <v>53</v>
      </c>
      <c r="B76" s="13" t="s">
        <v>11</v>
      </c>
    </row>
    <row r="77" spans="1:2" x14ac:dyDescent="0.25">
      <c r="A77" s="1" t="s">
        <v>54</v>
      </c>
      <c r="B77" s="16" t="s">
        <v>10</v>
      </c>
    </row>
    <row r="79" spans="1:2" ht="63" customHeight="1" x14ac:dyDescent="0.25">
      <c r="A79" s="23" t="s">
        <v>55</v>
      </c>
      <c r="B79" s="23"/>
    </row>
    <row r="80" spans="1:2" x14ac:dyDescent="0.25">
      <c r="A80" s="1" t="s">
        <v>42</v>
      </c>
      <c r="B80" s="13"/>
    </row>
    <row r="82" spans="1:5" ht="21" x14ac:dyDescent="0.25">
      <c r="A82" s="4" t="s">
        <v>12</v>
      </c>
    </row>
    <row r="83" spans="1:5" ht="30.75" customHeight="1" x14ac:dyDescent="0.25">
      <c r="A83" s="22" t="s">
        <v>56</v>
      </c>
      <c r="B83" s="22"/>
    </row>
    <row r="84" spans="1:5" x14ac:dyDescent="0.25">
      <c r="A84" s="1" t="s">
        <v>51</v>
      </c>
      <c r="B84" s="13" t="s">
        <v>10</v>
      </c>
      <c r="D84" t="s">
        <v>93</v>
      </c>
      <c r="E84" s="21" t="str">
        <f>B84</f>
        <v>No</v>
      </c>
    </row>
    <row r="86" spans="1:5" x14ac:dyDescent="0.25">
      <c r="A86" s="22" t="s">
        <v>57</v>
      </c>
      <c r="B86" s="22"/>
    </row>
    <row r="87" spans="1:5" x14ac:dyDescent="0.25">
      <c r="A87" s="1" t="s">
        <v>51</v>
      </c>
      <c r="B87" s="15" t="s">
        <v>11</v>
      </c>
      <c r="D87" t="s">
        <v>94</v>
      </c>
      <c r="E87" s="21" t="str">
        <f t="shared" ref="E87" si="0">B87</f>
        <v>Yes</v>
      </c>
    </row>
    <row r="88" spans="1:5" x14ac:dyDescent="0.25">
      <c r="A88" s="1" t="s">
        <v>64</v>
      </c>
      <c r="B88" s="13" t="s">
        <v>10</v>
      </c>
      <c r="D88" t="s">
        <v>167</v>
      </c>
      <c r="E88" s="21" t="str">
        <f>IF(ICA_A_DA07="No","NA",B88)</f>
        <v>No</v>
      </c>
    </row>
    <row r="89" spans="1:5" x14ac:dyDescent="0.25">
      <c r="A89" s="1" t="s">
        <v>65</v>
      </c>
      <c r="B89" s="13" t="s">
        <v>11</v>
      </c>
      <c r="D89" t="s">
        <v>168</v>
      </c>
      <c r="E89" s="21" t="str">
        <f>IF(ICA_A_DA07="No","NA",B89)</f>
        <v>Yes</v>
      </c>
    </row>
    <row r="90" spans="1:5" x14ac:dyDescent="0.25">
      <c r="A90" s="1" t="s">
        <v>66</v>
      </c>
      <c r="B90" s="13" t="s">
        <v>11</v>
      </c>
      <c r="D90" t="s">
        <v>169</v>
      </c>
      <c r="E90" s="21" t="str">
        <f>IF(ICA_A_DA07="No","NA",B90)</f>
        <v>Yes</v>
      </c>
    </row>
    <row r="92" spans="1:5" x14ac:dyDescent="0.25">
      <c r="A92" s="22" t="s">
        <v>59</v>
      </c>
      <c r="B92" s="22"/>
    </row>
    <row r="93" spans="1:5" x14ac:dyDescent="0.25">
      <c r="A93" s="1" t="s">
        <v>51</v>
      </c>
      <c r="B93" s="13" t="s">
        <v>10</v>
      </c>
      <c r="D93" t="s">
        <v>95</v>
      </c>
      <c r="E93" s="21" t="str">
        <f t="shared" ref="E93" si="1">B93</f>
        <v>No</v>
      </c>
    </row>
    <row r="95" spans="1:5" x14ac:dyDescent="0.25">
      <c r="A95" s="2" t="s">
        <v>150</v>
      </c>
      <c r="B95" s="13" t="s">
        <v>137</v>
      </c>
      <c r="D95" t="s">
        <v>96</v>
      </c>
      <c r="E95" s="21" t="str">
        <f>IF(ICA_A_DA08="No","NA",B95)</f>
        <v>NA</v>
      </c>
    </row>
    <row r="97" spans="1:5" x14ac:dyDescent="0.25">
      <c r="A97" s="22" t="s">
        <v>58</v>
      </c>
      <c r="B97" s="22"/>
    </row>
    <row r="98" spans="1:5" x14ac:dyDescent="0.25">
      <c r="A98" s="1" t="s">
        <v>51</v>
      </c>
      <c r="B98" s="13" t="s">
        <v>141</v>
      </c>
      <c r="D98" t="s">
        <v>97</v>
      </c>
      <c r="E98" s="21" t="str">
        <f t="shared" ref="E98" si="2">B98</f>
        <v>No board or meal plans for students</v>
      </c>
    </row>
    <row r="100" spans="1:5" ht="30" customHeight="1" x14ac:dyDescent="0.25">
      <c r="A100" s="2" t="s">
        <v>72</v>
      </c>
      <c r="B100" s="13" t="s">
        <v>137</v>
      </c>
      <c r="D100" t="s">
        <v>171</v>
      </c>
      <c r="E100" s="21" t="str">
        <f>IF(ICA_A_DA10="Yes - Enter the number of meals per week for the meal plan with the largest number of meals available",B100,"NA")</f>
        <v>NA</v>
      </c>
    </row>
    <row r="102" spans="1:5" x14ac:dyDescent="0.25">
      <c r="A102" s="22" t="s">
        <v>60</v>
      </c>
      <c r="B102" s="22"/>
    </row>
    <row r="103" spans="1:5" x14ac:dyDescent="0.25">
      <c r="A103" s="1" t="s">
        <v>61</v>
      </c>
      <c r="B103" s="13">
        <v>0</v>
      </c>
      <c r="D103" t="s">
        <v>91</v>
      </c>
      <c r="E103" s="21">
        <f t="shared" ref="E103:E104" si="3">B103</f>
        <v>0</v>
      </c>
    </row>
    <row r="104" spans="1:5" x14ac:dyDescent="0.25">
      <c r="A104" s="1" t="s">
        <v>71</v>
      </c>
      <c r="B104" s="13" t="s">
        <v>137</v>
      </c>
      <c r="D104" t="s">
        <v>92</v>
      </c>
      <c r="E104" s="21" t="str">
        <f t="shared" si="3"/>
        <v>NA</v>
      </c>
    </row>
    <row r="106" spans="1:5" x14ac:dyDescent="0.25">
      <c r="A106" s="22" t="s">
        <v>62</v>
      </c>
      <c r="B106" s="22"/>
    </row>
    <row r="107" spans="1:5" x14ac:dyDescent="0.25">
      <c r="A107" s="1" t="s">
        <v>63</v>
      </c>
    </row>
    <row r="108" spans="1:5" x14ac:dyDescent="0.25">
      <c r="A108" s="5" t="s">
        <v>67</v>
      </c>
    </row>
    <row r="109" spans="1:5" x14ac:dyDescent="0.25">
      <c r="A109" s="7" t="s">
        <v>64</v>
      </c>
      <c r="B109" s="13">
        <v>2432</v>
      </c>
      <c r="D109" t="s">
        <v>98</v>
      </c>
      <c r="E109" s="21">
        <f t="shared" ref="E109:E115" si="4">B109</f>
        <v>2432</v>
      </c>
    </row>
    <row r="110" spans="1:5" x14ac:dyDescent="0.25">
      <c r="A110" s="7" t="s">
        <v>65</v>
      </c>
      <c r="B110" s="13">
        <v>2432</v>
      </c>
      <c r="D110" t="s">
        <v>99</v>
      </c>
      <c r="E110" s="21">
        <f t="shared" si="4"/>
        <v>2432</v>
      </c>
    </row>
    <row r="111" spans="1:5" x14ac:dyDescent="0.25">
      <c r="A111" s="7" t="s">
        <v>66</v>
      </c>
      <c r="B111" s="13">
        <v>8576</v>
      </c>
      <c r="D111" t="s">
        <v>100</v>
      </c>
      <c r="E111" s="21">
        <f t="shared" si="4"/>
        <v>8576</v>
      </c>
    </row>
    <row r="112" spans="1:5" x14ac:dyDescent="0.25">
      <c r="A112" s="5" t="s">
        <v>68</v>
      </c>
    </row>
    <row r="113" spans="1:5" x14ac:dyDescent="0.25">
      <c r="A113" s="7" t="s">
        <v>64</v>
      </c>
      <c r="B113" s="13">
        <v>148</v>
      </c>
      <c r="D113" t="s">
        <v>101</v>
      </c>
      <c r="E113" s="21">
        <f t="shared" si="4"/>
        <v>148</v>
      </c>
    </row>
    <row r="114" spans="1:5" x14ac:dyDescent="0.25">
      <c r="A114" s="7" t="s">
        <v>65</v>
      </c>
      <c r="B114" s="13">
        <v>148</v>
      </c>
      <c r="D114" t="s">
        <v>102</v>
      </c>
      <c r="E114" s="21">
        <f t="shared" si="4"/>
        <v>148</v>
      </c>
    </row>
    <row r="115" spans="1:5" x14ac:dyDescent="0.25">
      <c r="A115" s="7" t="s">
        <v>66</v>
      </c>
      <c r="B115" s="13">
        <v>148</v>
      </c>
      <c r="D115" t="s">
        <v>103</v>
      </c>
      <c r="E115" s="21">
        <f t="shared" si="4"/>
        <v>148</v>
      </c>
    </row>
    <row r="117" spans="1:5" x14ac:dyDescent="0.25">
      <c r="A117" s="22" t="s">
        <v>69</v>
      </c>
      <c r="B117" s="22"/>
    </row>
    <row r="118" spans="1:5" x14ac:dyDescent="0.25">
      <c r="A118" s="5" t="s">
        <v>70</v>
      </c>
    </row>
    <row r="119" spans="1:5" x14ac:dyDescent="0.25">
      <c r="A119" s="7" t="s">
        <v>64</v>
      </c>
      <c r="B119" s="13">
        <v>76</v>
      </c>
      <c r="D119" t="s">
        <v>104</v>
      </c>
      <c r="E119" s="21">
        <f t="shared" ref="E119:E121" si="5">B119</f>
        <v>76</v>
      </c>
    </row>
    <row r="120" spans="1:5" x14ac:dyDescent="0.25">
      <c r="A120" s="7" t="s">
        <v>65</v>
      </c>
      <c r="B120" s="13">
        <v>76</v>
      </c>
      <c r="D120" t="s">
        <v>105</v>
      </c>
      <c r="E120" s="21">
        <f t="shared" si="5"/>
        <v>76</v>
      </c>
    </row>
    <row r="121" spans="1:5" x14ac:dyDescent="0.25">
      <c r="A121" s="7" t="s">
        <v>66</v>
      </c>
      <c r="B121" s="13">
        <v>268</v>
      </c>
      <c r="D121" t="s">
        <v>106</v>
      </c>
      <c r="E121" s="21">
        <f t="shared" si="5"/>
        <v>268</v>
      </c>
    </row>
    <row r="123" spans="1:5" x14ac:dyDescent="0.25">
      <c r="A123" s="22" t="s">
        <v>151</v>
      </c>
      <c r="B123" s="22"/>
    </row>
    <row r="124" spans="1:5" x14ac:dyDescent="0.25">
      <c r="A124" s="9" t="s">
        <v>78</v>
      </c>
      <c r="B124" s="8"/>
    </row>
    <row r="125" spans="1:5" x14ac:dyDescent="0.25">
      <c r="A125" s="10" t="s">
        <v>79</v>
      </c>
      <c r="B125" s="20" t="s">
        <v>137</v>
      </c>
      <c r="D125" t="s">
        <v>107</v>
      </c>
      <c r="E125" s="21" t="str">
        <f t="shared" ref="E125:E127" si="6">B125</f>
        <v>NA</v>
      </c>
    </row>
    <row r="126" spans="1:5" x14ac:dyDescent="0.25">
      <c r="A126" s="10" t="s">
        <v>80</v>
      </c>
      <c r="B126" s="20" t="s">
        <v>137</v>
      </c>
      <c r="D126" t="s">
        <v>108</v>
      </c>
      <c r="E126" s="21" t="str">
        <f t="shared" si="6"/>
        <v>NA</v>
      </c>
    </row>
    <row r="127" spans="1:5" x14ac:dyDescent="0.25">
      <c r="A127" s="1" t="s">
        <v>81</v>
      </c>
      <c r="B127" s="13" t="s">
        <v>137</v>
      </c>
      <c r="D127" t="s">
        <v>109</v>
      </c>
      <c r="E127" s="21" t="str">
        <f t="shared" si="6"/>
        <v>NA</v>
      </c>
    </row>
    <row r="130" spans="1:5" x14ac:dyDescent="0.25">
      <c r="A130" s="22" t="s">
        <v>73</v>
      </c>
      <c r="B130" s="22"/>
    </row>
    <row r="131" spans="1:5" x14ac:dyDescent="0.25">
      <c r="A131" s="3" t="s">
        <v>74</v>
      </c>
    </row>
    <row r="132" spans="1:5" x14ac:dyDescent="0.25">
      <c r="A132" s="5" t="s">
        <v>64</v>
      </c>
    </row>
    <row r="133" spans="1:5" x14ac:dyDescent="0.25">
      <c r="A133" s="7" t="s">
        <v>75</v>
      </c>
      <c r="B133" s="13">
        <v>2432</v>
      </c>
      <c r="D133" t="s">
        <v>110</v>
      </c>
      <c r="E133" s="21">
        <f t="shared" ref="E133:E138" si="7">B133</f>
        <v>2432</v>
      </c>
    </row>
    <row r="134" spans="1:5" x14ac:dyDescent="0.25">
      <c r="A134" s="11" t="s">
        <v>82</v>
      </c>
      <c r="B134" s="13"/>
      <c r="D134" t="s">
        <v>131</v>
      </c>
      <c r="E134" s="21">
        <f t="shared" si="7"/>
        <v>0</v>
      </c>
    </row>
    <row r="135" spans="1:5" x14ac:dyDescent="0.25">
      <c r="A135" s="11" t="s">
        <v>83</v>
      </c>
      <c r="B135" s="18"/>
      <c r="D135" t="s">
        <v>128</v>
      </c>
      <c r="E135" s="21">
        <f t="shared" si="7"/>
        <v>0</v>
      </c>
    </row>
    <row r="136" spans="1:5" x14ac:dyDescent="0.25">
      <c r="A136" s="7" t="s">
        <v>76</v>
      </c>
      <c r="B136" s="13">
        <v>148</v>
      </c>
      <c r="D136" t="s">
        <v>111</v>
      </c>
      <c r="E136" s="21">
        <f t="shared" si="7"/>
        <v>148</v>
      </c>
    </row>
    <row r="137" spans="1:5" x14ac:dyDescent="0.25">
      <c r="A137" s="11" t="s">
        <v>82</v>
      </c>
      <c r="B137" s="13"/>
      <c r="D137" t="s">
        <v>125</v>
      </c>
      <c r="E137" s="21">
        <f t="shared" si="7"/>
        <v>0</v>
      </c>
    </row>
    <row r="138" spans="1:5" x14ac:dyDescent="0.25">
      <c r="A138" s="11" t="s">
        <v>83</v>
      </c>
      <c r="B138" s="18"/>
      <c r="D138" t="s">
        <v>122</v>
      </c>
      <c r="E138" s="21">
        <f t="shared" si="7"/>
        <v>0</v>
      </c>
    </row>
    <row r="139" spans="1:5" x14ac:dyDescent="0.25">
      <c r="A139" s="7" t="s">
        <v>77</v>
      </c>
      <c r="B139" s="16">
        <f>B133+B136</f>
        <v>2580</v>
      </c>
    </row>
    <row r="140" spans="1:5" x14ac:dyDescent="0.25">
      <c r="A140" s="5" t="s">
        <v>65</v>
      </c>
    </row>
    <row r="141" spans="1:5" x14ac:dyDescent="0.25">
      <c r="A141" s="7" t="s">
        <v>75</v>
      </c>
      <c r="B141" s="13">
        <v>2432</v>
      </c>
      <c r="D141" t="s">
        <v>112</v>
      </c>
      <c r="E141" s="21">
        <f t="shared" ref="E141:E146" si="8">B141</f>
        <v>2432</v>
      </c>
    </row>
    <row r="142" spans="1:5" x14ac:dyDescent="0.25">
      <c r="A142" s="11" t="s">
        <v>82</v>
      </c>
      <c r="B142" s="13"/>
      <c r="D142" t="s">
        <v>132</v>
      </c>
      <c r="E142" s="21">
        <f t="shared" si="8"/>
        <v>0</v>
      </c>
    </row>
    <row r="143" spans="1:5" x14ac:dyDescent="0.25">
      <c r="A143" s="11" t="s">
        <v>83</v>
      </c>
      <c r="B143" s="18"/>
      <c r="D143" t="s">
        <v>129</v>
      </c>
      <c r="E143" s="21">
        <f t="shared" si="8"/>
        <v>0</v>
      </c>
    </row>
    <row r="144" spans="1:5" x14ac:dyDescent="0.25">
      <c r="A144" s="7" t="s">
        <v>76</v>
      </c>
      <c r="B144" s="13">
        <v>148</v>
      </c>
      <c r="D144" t="s">
        <v>113</v>
      </c>
      <c r="E144" s="21">
        <f t="shared" si="8"/>
        <v>148</v>
      </c>
    </row>
    <row r="145" spans="1:5" x14ac:dyDescent="0.25">
      <c r="A145" s="11" t="s">
        <v>82</v>
      </c>
      <c r="B145" s="13"/>
      <c r="D145" t="s">
        <v>126</v>
      </c>
      <c r="E145" s="21">
        <f t="shared" si="8"/>
        <v>0</v>
      </c>
    </row>
    <row r="146" spans="1:5" x14ac:dyDescent="0.25">
      <c r="A146" s="11" t="s">
        <v>83</v>
      </c>
      <c r="B146" s="18"/>
      <c r="D146" t="s">
        <v>123</v>
      </c>
      <c r="E146" s="21">
        <f t="shared" si="8"/>
        <v>0</v>
      </c>
    </row>
    <row r="147" spans="1:5" x14ac:dyDescent="0.25">
      <c r="A147" s="7" t="s">
        <v>77</v>
      </c>
      <c r="B147" s="16">
        <f>B141+B144</f>
        <v>2580</v>
      </c>
    </row>
    <row r="148" spans="1:5" x14ac:dyDescent="0.25">
      <c r="A148" s="5" t="s">
        <v>66</v>
      </c>
    </row>
    <row r="149" spans="1:5" x14ac:dyDescent="0.25">
      <c r="A149" s="7" t="s">
        <v>75</v>
      </c>
      <c r="B149" s="13">
        <v>8576</v>
      </c>
      <c r="D149" t="s">
        <v>114</v>
      </c>
      <c r="E149" s="21">
        <f t="shared" ref="E149:E156" si="9">B149</f>
        <v>8576</v>
      </c>
    </row>
    <row r="150" spans="1:5" x14ac:dyDescent="0.25">
      <c r="A150" s="11" t="s">
        <v>82</v>
      </c>
      <c r="B150" s="13"/>
      <c r="D150" t="s">
        <v>133</v>
      </c>
      <c r="E150" s="21">
        <f t="shared" si="9"/>
        <v>0</v>
      </c>
    </row>
    <row r="151" spans="1:5" x14ac:dyDescent="0.25">
      <c r="A151" s="11" t="s">
        <v>83</v>
      </c>
      <c r="B151" s="18"/>
      <c r="D151" t="s">
        <v>130</v>
      </c>
      <c r="E151" s="21">
        <f t="shared" si="9"/>
        <v>0</v>
      </c>
    </row>
    <row r="152" spans="1:5" x14ac:dyDescent="0.25">
      <c r="A152" s="7" t="s">
        <v>76</v>
      </c>
      <c r="B152" s="13">
        <v>148</v>
      </c>
      <c r="D152" t="s">
        <v>115</v>
      </c>
      <c r="E152" s="21">
        <f t="shared" si="9"/>
        <v>148</v>
      </c>
    </row>
    <row r="153" spans="1:5" x14ac:dyDescent="0.25">
      <c r="A153" s="11" t="s">
        <v>82</v>
      </c>
      <c r="B153" s="13"/>
      <c r="D153" t="s">
        <v>127</v>
      </c>
      <c r="E153" s="21">
        <f t="shared" si="9"/>
        <v>0</v>
      </c>
    </row>
    <row r="154" spans="1:5" x14ac:dyDescent="0.25">
      <c r="A154" s="11" t="s">
        <v>83</v>
      </c>
      <c r="B154" s="18"/>
      <c r="D154" t="s">
        <v>124</v>
      </c>
      <c r="E154" s="21">
        <f t="shared" si="9"/>
        <v>0</v>
      </c>
    </row>
    <row r="155" spans="1:5" x14ac:dyDescent="0.25">
      <c r="A155" s="7" t="s">
        <v>77</v>
      </c>
      <c r="B155" s="16">
        <f>B149+B152</f>
        <v>8724</v>
      </c>
    </row>
    <row r="156" spans="1:5" x14ac:dyDescent="0.25">
      <c r="A156" s="5" t="s">
        <v>84</v>
      </c>
      <c r="B156" s="13">
        <v>1390</v>
      </c>
      <c r="D156" t="s">
        <v>116</v>
      </c>
      <c r="E156" s="21">
        <f t="shared" si="9"/>
        <v>1390</v>
      </c>
    </row>
    <row r="157" spans="1:5" x14ac:dyDescent="0.25">
      <c r="A157" s="3" t="s">
        <v>85</v>
      </c>
    </row>
    <row r="158" spans="1:5" x14ac:dyDescent="0.25">
      <c r="A158" s="6" t="s">
        <v>86</v>
      </c>
      <c r="B158" s="13"/>
      <c r="D158" t="s">
        <v>117</v>
      </c>
      <c r="E158" s="21" t="str">
        <f>IF(ICA_A_DA10 = "No board or meal plans for students","NA",B158)</f>
        <v>NA</v>
      </c>
    </row>
    <row r="159" spans="1:5" x14ac:dyDescent="0.25">
      <c r="A159" s="6" t="s">
        <v>87</v>
      </c>
      <c r="B159" s="13"/>
      <c r="D159" t="s">
        <v>118</v>
      </c>
      <c r="E159" s="21" t="str">
        <f>IF(ICA_A_DA10 = "No board or meal plans for students","NA",B159)</f>
        <v>NA</v>
      </c>
    </row>
    <row r="160" spans="1:5" x14ac:dyDescent="0.25">
      <c r="A160" s="6" t="s">
        <v>88</v>
      </c>
      <c r="B160" s="16">
        <f>B158+B159</f>
        <v>0</v>
      </c>
    </row>
    <row r="161" spans="1:5" x14ac:dyDescent="0.25">
      <c r="A161" s="3" t="s">
        <v>89</v>
      </c>
    </row>
    <row r="162" spans="1:5" x14ac:dyDescent="0.25">
      <c r="A162" s="6" t="s">
        <v>86</v>
      </c>
      <c r="B162" s="13">
        <v>8822</v>
      </c>
      <c r="D162" t="s">
        <v>119</v>
      </c>
      <c r="E162" s="21">
        <f t="shared" ref="E162:E163" si="10">B162</f>
        <v>8822</v>
      </c>
    </row>
    <row r="163" spans="1:5" x14ac:dyDescent="0.25">
      <c r="A163" s="6" t="s">
        <v>87</v>
      </c>
      <c r="B163" s="13">
        <v>5585</v>
      </c>
      <c r="D163" t="s">
        <v>120</v>
      </c>
      <c r="E163" s="21">
        <f t="shared" si="10"/>
        <v>5585</v>
      </c>
    </row>
    <row r="164" spans="1:5" x14ac:dyDescent="0.25">
      <c r="A164" s="6" t="s">
        <v>88</v>
      </c>
      <c r="B164" s="16">
        <f>B162+B163</f>
        <v>14407</v>
      </c>
    </row>
    <row r="165" spans="1:5" x14ac:dyDescent="0.25">
      <c r="A165" s="3" t="s">
        <v>90</v>
      </c>
    </row>
    <row r="166" spans="1:5" x14ac:dyDescent="0.25">
      <c r="A166" s="6" t="s">
        <v>87</v>
      </c>
      <c r="B166" s="13">
        <v>5585</v>
      </c>
      <c r="D166" t="s">
        <v>121</v>
      </c>
      <c r="E166" s="21">
        <f t="shared" ref="E166" si="11">B166</f>
        <v>5585</v>
      </c>
    </row>
    <row r="169" spans="1:5" ht="21" x14ac:dyDescent="0.25">
      <c r="A169" s="4" t="s">
        <v>152</v>
      </c>
    </row>
    <row r="170" spans="1:5" x14ac:dyDescent="0.25">
      <c r="A170" s="22" t="s">
        <v>159</v>
      </c>
      <c r="B170" s="22"/>
    </row>
    <row r="171" spans="1:5" x14ac:dyDescent="0.25">
      <c r="A171" s="1" t="s">
        <v>51</v>
      </c>
      <c r="B171" s="15" t="s">
        <v>10</v>
      </c>
    </row>
    <row r="172" spans="1:5" x14ac:dyDescent="0.25">
      <c r="A172" s="1" t="s">
        <v>153</v>
      </c>
      <c r="B172" s="13" t="s">
        <v>10</v>
      </c>
    </row>
    <row r="173" spans="1:5" x14ac:dyDescent="0.25">
      <c r="A173" s="1" t="s">
        <v>154</v>
      </c>
      <c r="B173" s="13" t="s">
        <v>10</v>
      </c>
    </row>
    <row r="174" spans="1:5" x14ac:dyDescent="0.25">
      <c r="A174" s="1" t="s">
        <v>155</v>
      </c>
      <c r="B174" s="13" t="s">
        <v>10</v>
      </c>
    </row>
    <row r="175" spans="1:5" x14ac:dyDescent="0.25">
      <c r="A175" s="1" t="s">
        <v>156</v>
      </c>
      <c r="B175" s="13" t="s">
        <v>10</v>
      </c>
    </row>
    <row r="176" spans="1:5" x14ac:dyDescent="0.25">
      <c r="A176" s="1" t="s">
        <v>157</v>
      </c>
      <c r="B176" s="13" t="s">
        <v>10</v>
      </c>
    </row>
    <row r="177" spans="1:3" x14ac:dyDescent="0.25">
      <c r="A177" s="1" t="s">
        <v>158</v>
      </c>
      <c r="B177" s="13" t="s">
        <v>10</v>
      </c>
    </row>
    <row r="179" spans="1:3" x14ac:dyDescent="0.25">
      <c r="A179" s="22" t="s">
        <v>160</v>
      </c>
      <c r="B179" s="22"/>
    </row>
    <row r="180" spans="1:3" x14ac:dyDescent="0.25">
      <c r="A180" s="1" t="s">
        <v>161</v>
      </c>
      <c r="B180" s="2" t="s">
        <v>162</v>
      </c>
      <c r="C180" s="1" t="s">
        <v>163</v>
      </c>
    </row>
    <row r="181" spans="1:3" x14ac:dyDescent="0.25">
      <c r="A181" s="1" t="s">
        <v>164</v>
      </c>
      <c r="B181" s="13" t="s">
        <v>10</v>
      </c>
      <c r="C181" s="13" t="s">
        <v>137</v>
      </c>
    </row>
    <row r="182" spans="1:3" x14ac:dyDescent="0.25">
      <c r="A182" s="1" t="s">
        <v>165</v>
      </c>
      <c r="B182" s="13" t="s">
        <v>10</v>
      </c>
      <c r="C182" s="13" t="s">
        <v>137</v>
      </c>
    </row>
    <row r="183" spans="1:3" x14ac:dyDescent="0.25">
      <c r="A183" s="1" t="s">
        <v>166</v>
      </c>
      <c r="B183" s="13" t="s">
        <v>10</v>
      </c>
      <c r="C183" s="13" t="s">
        <v>137</v>
      </c>
    </row>
    <row r="184" spans="1:3" x14ac:dyDescent="0.25">
      <c r="A184" s="1" t="s">
        <v>170</v>
      </c>
      <c r="B184" s="13" t="s">
        <v>10</v>
      </c>
      <c r="C184" s="13" t="s">
        <v>137</v>
      </c>
    </row>
  </sheetData>
  <mergeCells count="22">
    <mergeCell ref="A170:B170"/>
    <mergeCell ref="A179:B179"/>
    <mergeCell ref="A92:B92"/>
    <mergeCell ref="A97:B97"/>
    <mergeCell ref="A102:B102"/>
    <mergeCell ref="A106:B106"/>
    <mergeCell ref="A60:B60"/>
    <mergeCell ref="A117:B117"/>
    <mergeCell ref="A130:B130"/>
    <mergeCell ref="A123:B123"/>
    <mergeCell ref="A15:B15"/>
    <mergeCell ref="A72:B72"/>
    <mergeCell ref="A75:B75"/>
    <mergeCell ref="A79:B79"/>
    <mergeCell ref="A83:B83"/>
    <mergeCell ref="A86:B86"/>
    <mergeCell ref="A63:B63"/>
    <mergeCell ref="A66:B66"/>
    <mergeCell ref="A53:B53"/>
    <mergeCell ref="A44:B44"/>
    <mergeCell ref="A37:B37"/>
    <mergeCell ref="A21:B21"/>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7EA88-D782-4AEC-9C52-7B98FB49C73F}">
  <sheetPr codeName="Sheet2"/>
  <dimension ref="A1:B49"/>
  <sheetViews>
    <sheetView workbookViewId="0"/>
  </sheetViews>
  <sheetFormatPr defaultRowHeight="15" x14ac:dyDescent="0.25"/>
  <cols>
    <col min="1" max="1" width="15.7109375" bestFit="1" customWidth="1"/>
    <col min="2" max="2" width="33.28515625" bestFit="1" customWidth="1"/>
  </cols>
  <sheetData>
    <row r="1" spans="1:2" x14ac:dyDescent="0.25">
      <c r="A1" t="s">
        <v>134</v>
      </c>
      <c r="B1" t="s">
        <v>135</v>
      </c>
    </row>
    <row r="2" spans="1:2" x14ac:dyDescent="0.25">
      <c r="A2" s="21" t="s">
        <v>91</v>
      </c>
      <c r="B2" s="21">
        <v>0</v>
      </c>
    </row>
    <row r="3" spans="1:2" x14ac:dyDescent="0.25">
      <c r="A3" s="21" t="s">
        <v>92</v>
      </c>
      <c r="B3" s="21" t="s">
        <v>137</v>
      </c>
    </row>
    <row r="4" spans="1:2" x14ac:dyDescent="0.25">
      <c r="A4" s="21" t="s">
        <v>93</v>
      </c>
      <c r="B4" s="21" t="s">
        <v>10</v>
      </c>
    </row>
    <row r="5" spans="1:2" x14ac:dyDescent="0.25">
      <c r="A5" s="21" t="s">
        <v>94</v>
      </c>
      <c r="B5" s="21" t="s">
        <v>11</v>
      </c>
    </row>
    <row r="6" spans="1:2" x14ac:dyDescent="0.25">
      <c r="A6" s="21" t="s">
        <v>167</v>
      </c>
      <c r="B6" s="21" t="s">
        <v>10</v>
      </c>
    </row>
    <row r="7" spans="1:2" x14ac:dyDescent="0.25">
      <c r="A7" s="21" t="s">
        <v>168</v>
      </c>
      <c r="B7" s="21" t="s">
        <v>11</v>
      </c>
    </row>
    <row r="8" spans="1:2" x14ac:dyDescent="0.25">
      <c r="A8" s="21" t="s">
        <v>169</v>
      </c>
      <c r="B8" s="21" t="s">
        <v>11</v>
      </c>
    </row>
    <row r="9" spans="1:2" x14ac:dyDescent="0.25">
      <c r="A9" s="21" t="s">
        <v>95</v>
      </c>
      <c r="B9" s="21" t="s">
        <v>10</v>
      </c>
    </row>
    <row r="10" spans="1:2" x14ac:dyDescent="0.25">
      <c r="A10" s="21" t="s">
        <v>96</v>
      </c>
      <c r="B10" s="21" t="s">
        <v>137</v>
      </c>
    </row>
    <row r="11" spans="1:2" x14ac:dyDescent="0.25">
      <c r="A11" s="21" t="s">
        <v>97</v>
      </c>
      <c r="B11" s="21" t="s">
        <v>141</v>
      </c>
    </row>
    <row r="12" spans="1:2" x14ac:dyDescent="0.25">
      <c r="A12" s="21" t="s">
        <v>98</v>
      </c>
      <c r="B12" s="21">
        <v>2432</v>
      </c>
    </row>
    <row r="13" spans="1:2" x14ac:dyDescent="0.25">
      <c r="A13" s="21" t="s">
        <v>99</v>
      </c>
      <c r="B13" s="21">
        <v>2432</v>
      </c>
    </row>
    <row r="14" spans="1:2" x14ac:dyDescent="0.25">
      <c r="A14" s="21" t="s">
        <v>100</v>
      </c>
      <c r="B14" s="21">
        <v>8576</v>
      </c>
    </row>
    <row r="15" spans="1:2" x14ac:dyDescent="0.25">
      <c r="A15" s="21" t="s">
        <v>101</v>
      </c>
      <c r="B15" s="21">
        <v>148</v>
      </c>
    </row>
    <row r="16" spans="1:2" x14ac:dyDescent="0.25">
      <c r="A16" s="21" t="s">
        <v>102</v>
      </c>
      <c r="B16" s="21">
        <v>148</v>
      </c>
    </row>
    <row r="17" spans="1:2" x14ac:dyDescent="0.25">
      <c r="A17" s="21" t="s">
        <v>103</v>
      </c>
      <c r="B17" s="21">
        <v>148</v>
      </c>
    </row>
    <row r="18" spans="1:2" x14ac:dyDescent="0.25">
      <c r="A18" s="21" t="s">
        <v>104</v>
      </c>
      <c r="B18" s="21">
        <v>76</v>
      </c>
    </row>
    <row r="19" spans="1:2" x14ac:dyDescent="0.25">
      <c r="A19" s="21" t="s">
        <v>105</v>
      </c>
      <c r="B19" s="21">
        <v>76</v>
      </c>
    </row>
    <row r="20" spans="1:2" x14ac:dyDescent="0.25">
      <c r="A20" s="21" t="s">
        <v>106</v>
      </c>
      <c r="B20" s="21">
        <v>268</v>
      </c>
    </row>
    <row r="21" spans="1:2" x14ac:dyDescent="0.25">
      <c r="A21" s="21" t="s">
        <v>107</v>
      </c>
      <c r="B21" s="21" t="s">
        <v>137</v>
      </c>
    </row>
    <row r="22" spans="1:2" x14ac:dyDescent="0.25">
      <c r="A22" s="21" t="s">
        <v>108</v>
      </c>
      <c r="B22" s="21" t="s">
        <v>137</v>
      </c>
    </row>
    <row r="23" spans="1:2" x14ac:dyDescent="0.25">
      <c r="A23" s="21" t="s">
        <v>109</v>
      </c>
      <c r="B23" s="21" t="s">
        <v>137</v>
      </c>
    </row>
    <row r="24" spans="1:2" x14ac:dyDescent="0.25">
      <c r="A24" s="21" t="s">
        <v>110</v>
      </c>
      <c r="B24" s="21">
        <v>2432</v>
      </c>
    </row>
    <row r="25" spans="1:2" x14ac:dyDescent="0.25">
      <c r="A25" s="21" t="s">
        <v>111</v>
      </c>
      <c r="B25" s="21">
        <v>148</v>
      </c>
    </row>
    <row r="26" spans="1:2" x14ac:dyDescent="0.25">
      <c r="A26" s="21" t="s">
        <v>112</v>
      </c>
      <c r="B26" s="21">
        <v>2432</v>
      </c>
    </row>
    <row r="27" spans="1:2" x14ac:dyDescent="0.25">
      <c r="A27" s="21" t="s">
        <v>113</v>
      </c>
      <c r="B27" s="21">
        <v>148</v>
      </c>
    </row>
    <row r="28" spans="1:2" x14ac:dyDescent="0.25">
      <c r="A28" s="21" t="s">
        <v>114</v>
      </c>
      <c r="B28" s="21">
        <v>8576</v>
      </c>
    </row>
    <row r="29" spans="1:2" x14ac:dyDescent="0.25">
      <c r="A29" s="21" t="s">
        <v>115</v>
      </c>
      <c r="B29" s="21">
        <v>148</v>
      </c>
    </row>
    <row r="30" spans="1:2" x14ac:dyDescent="0.25">
      <c r="A30" s="21" t="s">
        <v>116</v>
      </c>
      <c r="B30" s="21">
        <v>1390</v>
      </c>
    </row>
    <row r="31" spans="1:2" x14ac:dyDescent="0.25">
      <c r="A31" s="21" t="s">
        <v>117</v>
      </c>
      <c r="B31" s="21"/>
    </row>
    <row r="32" spans="1:2" x14ac:dyDescent="0.25">
      <c r="A32" s="21" t="s">
        <v>118</v>
      </c>
      <c r="B32" s="21"/>
    </row>
    <row r="33" spans="1:2" x14ac:dyDescent="0.25">
      <c r="A33" s="21" t="s">
        <v>119</v>
      </c>
      <c r="B33" s="21">
        <v>8822</v>
      </c>
    </row>
    <row r="34" spans="1:2" x14ac:dyDescent="0.25">
      <c r="A34" s="21" t="s">
        <v>120</v>
      </c>
      <c r="B34" s="21">
        <v>5585</v>
      </c>
    </row>
    <row r="35" spans="1:2" x14ac:dyDescent="0.25">
      <c r="A35" s="21" t="s">
        <v>121</v>
      </c>
      <c r="B35" s="21">
        <v>5585</v>
      </c>
    </row>
    <row r="36" spans="1:2" x14ac:dyDescent="0.25">
      <c r="A36" s="21" t="s">
        <v>122</v>
      </c>
      <c r="B36" s="21"/>
    </row>
    <row r="37" spans="1:2" x14ac:dyDescent="0.25">
      <c r="A37" s="21" t="s">
        <v>123</v>
      </c>
      <c r="B37" s="21"/>
    </row>
    <row r="38" spans="1:2" x14ac:dyDescent="0.25">
      <c r="A38" s="21" t="s">
        <v>124</v>
      </c>
      <c r="B38" s="21"/>
    </row>
    <row r="39" spans="1:2" x14ac:dyDescent="0.25">
      <c r="A39" s="21" t="s">
        <v>125</v>
      </c>
      <c r="B39" s="21"/>
    </row>
    <row r="40" spans="1:2" x14ac:dyDescent="0.25">
      <c r="A40" s="21" t="s">
        <v>126</v>
      </c>
      <c r="B40" s="21"/>
    </row>
    <row r="41" spans="1:2" x14ac:dyDescent="0.25">
      <c r="A41" s="21" t="s">
        <v>127</v>
      </c>
      <c r="B41" s="21"/>
    </row>
    <row r="42" spans="1:2" x14ac:dyDescent="0.25">
      <c r="A42" s="21" t="s">
        <v>128</v>
      </c>
      <c r="B42" s="21"/>
    </row>
    <row r="43" spans="1:2" x14ac:dyDescent="0.25">
      <c r="A43" s="21" t="s">
        <v>129</v>
      </c>
      <c r="B43" s="21"/>
    </row>
    <row r="44" spans="1:2" x14ac:dyDescent="0.25">
      <c r="A44" s="21" t="s">
        <v>130</v>
      </c>
      <c r="B44" s="21"/>
    </row>
    <row r="45" spans="1:2" x14ac:dyDescent="0.25">
      <c r="A45" s="21" t="s">
        <v>131</v>
      </c>
      <c r="B45" s="21"/>
    </row>
    <row r="46" spans="1:2" x14ac:dyDescent="0.25">
      <c r="A46" s="21" t="s">
        <v>132</v>
      </c>
      <c r="B46" s="21"/>
    </row>
    <row r="47" spans="1:2" x14ac:dyDescent="0.25">
      <c r="A47" s="21" t="s">
        <v>133</v>
      </c>
      <c r="B47" s="21"/>
    </row>
    <row r="48" spans="1:2" x14ac:dyDescent="0.25">
      <c r="A48" s="21" t="s">
        <v>136</v>
      </c>
      <c r="B48" s="21">
        <v>198668</v>
      </c>
    </row>
    <row r="49" spans="1:2" x14ac:dyDescent="0.25">
      <c r="A49" s="21"/>
      <c r="B49" s="21"/>
    </row>
  </sheetData>
  <dataConsolidate/>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6B1AA-BECA-4268-90D8-78DE8E7128A0}">
  <sheetPr codeName="Sheet3"/>
  <dimension ref="A1:A4"/>
  <sheetViews>
    <sheetView workbookViewId="0"/>
  </sheetViews>
  <sheetFormatPr defaultRowHeight="15" x14ac:dyDescent="0.25"/>
  <cols>
    <col min="1" max="1" width="81.140625" bestFit="1" customWidth="1"/>
  </cols>
  <sheetData>
    <row r="1" spans="1:1" x14ac:dyDescent="0.25">
      <c r="A1" t="s">
        <v>138</v>
      </c>
    </row>
    <row r="2" spans="1:1" x14ac:dyDescent="0.25">
      <c r="A2" s="21" t="s">
        <v>172</v>
      </c>
    </row>
    <row r="3" spans="1:1" x14ac:dyDescent="0.25">
      <c r="A3" s="21" t="s">
        <v>139</v>
      </c>
    </row>
    <row r="4" spans="1:1" x14ac:dyDescent="0.25">
      <c r="A4" s="21" t="s">
        <v>173</v>
      </c>
    </row>
  </sheetData>
  <dataConsolidate/>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16f6d35e-f8f7-4be7-8a36-77a5301d0496">
      <Terms xmlns="http://schemas.microsoft.com/office/infopath/2007/PartnerControls"/>
    </lcf76f155ced4ddcb4097134ff3c332f>
    <TaxCatchAll xmlns="995fa42e-70f2-45ca-a92e-66b9e5c12198"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B288D62A9D4EB43B1B4847ADFD34D72" ma:contentTypeVersion="20" ma:contentTypeDescription="Create a new document." ma:contentTypeScope="" ma:versionID="27142cc355e5fcb180e0f02e38b2a3a2">
  <xsd:schema xmlns:xsd="http://www.w3.org/2001/XMLSchema" xmlns:xs="http://www.w3.org/2001/XMLSchema" xmlns:p="http://schemas.microsoft.com/office/2006/metadata/properties" xmlns:ns2="16f6d35e-f8f7-4be7-8a36-77a5301d0496" xmlns:ns3="995fa42e-70f2-45ca-a92e-66b9e5c12198" targetNamespace="http://schemas.microsoft.com/office/2006/metadata/properties" ma:root="true" ma:fieldsID="2ae795956ff536c1372b3cab13d3cbe0" ns2:_="" ns3:_="">
    <xsd:import namespace="16f6d35e-f8f7-4be7-8a36-77a5301d0496"/>
    <xsd:import namespace="995fa42e-70f2-45ca-a92e-66b9e5c1219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Location" minOccurs="0"/>
                <xsd:element ref="ns2:MediaServiceAutoKeyPoints" minOccurs="0"/>
                <xsd:element ref="ns2:MediaServiceKeyPoints" minOccurs="0"/>
                <xsd:element ref="ns2:MediaServiceOCR" minOccurs="0"/>
                <xsd:element ref="ns3:SharedWithUsers" minOccurs="0"/>
                <xsd:element ref="ns3:SharedWithDetails" minOccurs="0"/>
                <xsd:element ref="ns2:MediaLengthInSeconds" minOccurs="0"/>
                <xsd:element ref="ns3:TaxCatchAll" minOccurs="0"/>
                <xsd:element ref="ns2:lcf76f155ced4ddcb4097134ff3c332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f6d35e-f8f7-4be7-8a36-77a5301d04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e2634a7c-d88b-4a2c-8388-1a3d08c06d4e"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95fa42e-70f2-45ca-a92e-66b9e5c12198"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814c3b3f-5ace-4537-970c-a2f2119d6d26}" ma:internalName="TaxCatchAll" ma:showField="CatchAllData" ma:web="995fa42e-70f2-45ca-a92e-66b9e5c1219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875164B2-C57B-43A2-88E1-8A479D1EC6B3}">
  <ds:schemaRefs>
    <ds:schemaRef ds:uri="http://schemas.microsoft.com/office/2006/metadata/properties"/>
    <ds:schemaRef ds:uri="http://schemas.microsoft.com/office/infopath/2007/PartnerControls"/>
    <ds:schemaRef ds:uri="16f6d35e-f8f7-4be7-8a36-77a5301d0496"/>
    <ds:schemaRef ds:uri="995fa42e-70f2-45ca-a92e-66b9e5c12198"/>
  </ds:schemaRefs>
</ds:datastoreItem>
</file>

<file path=customXml/itemProps2.xml><?xml version="1.0" encoding="utf-8"?>
<ds:datastoreItem xmlns:ds="http://schemas.openxmlformats.org/officeDocument/2006/customXml" ds:itemID="{7DF8D092-78AB-43EE-8FD0-5417E7FA9143}">
  <ds:schemaRefs>
    <ds:schemaRef ds:uri="http://schemas.microsoft.com/sharepoint/v3/contenttype/forms"/>
  </ds:schemaRefs>
</ds:datastoreItem>
</file>

<file path=customXml/itemProps3.xml><?xml version="1.0" encoding="utf-8"?>
<ds:datastoreItem xmlns:ds="http://schemas.openxmlformats.org/officeDocument/2006/customXml" ds:itemID="{8EEF0299-D670-4BB5-8CB6-A618A2C3E851}"/>
</file>

<file path=customXml/itemProps4.xml><?xml version="1.0" encoding="utf-8"?>
<ds:datastoreItem xmlns:ds="http://schemas.openxmlformats.org/officeDocument/2006/customXml" ds:itemID="{510899DD-5A1B-45E2-9528-9073FEE5167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48</vt:i4>
      </vt:variant>
    </vt:vector>
  </HeadingPairs>
  <TitlesOfParts>
    <vt:vector size="51" baseType="lpstr">
      <vt:lpstr>ICA</vt:lpstr>
      <vt:lpstr>ICA_Table</vt:lpstr>
      <vt:lpstr>Result_Table</vt:lpstr>
      <vt:lpstr>ICA_A_DA03</vt:lpstr>
      <vt:lpstr>ICA_A_DA04</vt:lpstr>
      <vt:lpstr>ICA_A_DA06</vt:lpstr>
      <vt:lpstr>ICA_A_DA07</vt:lpstr>
      <vt:lpstr>ICA_A_DA071</vt:lpstr>
      <vt:lpstr>ICA_A_DA072</vt:lpstr>
      <vt:lpstr>ICA_A_DA073</vt:lpstr>
      <vt:lpstr>ICA_A_DA08</vt:lpstr>
      <vt:lpstr>ICA_A_DA09</vt:lpstr>
      <vt:lpstr>ICA_A_DA10</vt:lpstr>
      <vt:lpstr>ICA_B_DB01</vt:lpstr>
      <vt:lpstr>ICA_B_DB02</vt:lpstr>
      <vt:lpstr>ICA_B_DB03</vt:lpstr>
      <vt:lpstr>ICA_B_DB04</vt:lpstr>
      <vt:lpstr>ICA_B_DB05</vt:lpstr>
      <vt:lpstr>ICA_B_DB06</vt:lpstr>
      <vt:lpstr>ICA_B_DB07</vt:lpstr>
      <vt:lpstr>ICA_B_DB08</vt:lpstr>
      <vt:lpstr>ICA_B_DB09</vt:lpstr>
      <vt:lpstr>ICA_D_DD01</vt:lpstr>
      <vt:lpstr>ICA_D_DD02</vt:lpstr>
      <vt:lpstr>ICA_D_DD03</vt:lpstr>
      <vt:lpstr>ICA_E_DE011</vt:lpstr>
      <vt:lpstr>ICA_E_DE012</vt:lpstr>
      <vt:lpstr>ICA_E_DE021</vt:lpstr>
      <vt:lpstr>ICA_E_DE022</vt:lpstr>
      <vt:lpstr>ICA_E_DE031</vt:lpstr>
      <vt:lpstr>ICA_E_DE032</vt:lpstr>
      <vt:lpstr>ICA_E_DE07</vt:lpstr>
      <vt:lpstr>ICA_E_DE08</vt:lpstr>
      <vt:lpstr>ICA_E_DE09</vt:lpstr>
      <vt:lpstr>ICA_E_DE10</vt:lpstr>
      <vt:lpstr>ICA_E_DE11</vt:lpstr>
      <vt:lpstr>ICA_E_DE12</vt:lpstr>
      <vt:lpstr>ICA_E_FEEGP01</vt:lpstr>
      <vt:lpstr>ICA_E_FEEGP02</vt:lpstr>
      <vt:lpstr>ICA_E_FEEGP03</vt:lpstr>
      <vt:lpstr>ICA_E_FEEGQ01</vt:lpstr>
      <vt:lpstr>ICA_E_FEEGQ02</vt:lpstr>
      <vt:lpstr>ICA_E_FEEGQ03</vt:lpstr>
      <vt:lpstr>ICA_E_TUITGP01</vt:lpstr>
      <vt:lpstr>ICA_E_TUITGP02</vt:lpstr>
      <vt:lpstr>ICA_E_TUITGP03</vt:lpstr>
      <vt:lpstr>ICA_E_TUITGQ01</vt:lpstr>
      <vt:lpstr>ICA_E_TUITGQ02</vt:lpstr>
      <vt:lpstr>ICA_E_TUITGQ03</vt:lpstr>
      <vt:lpstr>ICA_UNITID</vt:lpstr>
      <vt:lpstr>IPEDS_Data_NR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Onder</dc:creator>
  <cp:lastModifiedBy>David Onder</cp:lastModifiedBy>
  <dcterms:created xsi:type="dcterms:W3CDTF">2019-09-16T14:12:03Z</dcterms:created>
  <dcterms:modified xsi:type="dcterms:W3CDTF">2022-09-27T19:30:09Z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0x0101004B288D62A9D4EB43B1B4847ADFD34D72</vt:lpwstr>
  </property>
  <property fmtid="{D5CDD505-2E9C-101B-9397-08002B2CF9AE}" pid="3" name="MediaServiceImageTags">
    <vt:lpwstr/>
  </property>
</Properties>
</file>